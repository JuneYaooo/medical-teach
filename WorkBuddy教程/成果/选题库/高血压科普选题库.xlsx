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选题库" sheetId="1" state="visible" r:id="rId3"/>
    <sheet name="首月优先清单" sheetId="2" state="visible" r:id="rId4"/>
    <sheet name="专业复核清单" sheetId="3" state="visible" r:id="rId5"/>
    <sheet name="待核验清单" sheetId="4" state="visible" r:id="rId6"/>
    <sheet name="说明" sheetId="5" state="visible" r:id="rId7"/>
  </sheets>
  <definedNames>
    <definedName function="false" hidden="true" localSheetId="3" name="_xlnm._FilterDatabase" vbProcedure="false">待核验清单!$A$1:$G$22</definedName>
    <definedName function="false" hidden="true" localSheetId="1" name="_xlnm._FilterDatabase" vbProcedure="false">首月优先清单!$A$1:$J$20</definedName>
    <definedName function="false" hidden="true" localSheetId="0" name="_xlnm._FilterDatabase" vbProcedure="false">选题库!$A$1:$U$36</definedName>
    <definedName function="false" hidden="true" localSheetId="2" name="_xlnm._FilterDatabase" vbProcedure="false">专业复核清单!$A$1:$I$6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<sst xmlns="http://schemas.openxmlformats.org/spreadsheetml/2006/main" count="825" uniqueCount="408">
  <si>
    <t xml:space="preserve">序号</t>
  </si>
  <si>
    <t xml:space="preserve">分类</t>
  </si>
  <si>
    <t xml:space="preserve">选题标题</t>
  </si>
  <si>
    <t xml:space="preserve">患者原话（合并前）</t>
  </si>
  <si>
    <t xml:space="preserve">来源编号</t>
  </si>
  <si>
    <t xml:space="preserve">合计频次</t>
  </si>
  <si>
    <t xml:space="preserve">受众</t>
  </si>
  <si>
    <t xml:space="preserve">核心问题</t>
  </si>
  <si>
    <t xml:space="preserve">内容角度</t>
  </si>
  <si>
    <t xml:space="preserve">支持事实卡</t>
  </si>
  <si>
    <t xml:space="preserve">支持范围</t>
  </si>
  <si>
    <t xml:space="preserve">证据状态</t>
  </si>
  <si>
    <r>
      <rPr>
        <b val="true"/>
        <sz val="11"/>
        <color rgb="FFFFFFFF"/>
        <rFont val="Arial Unicode MS"/>
        <family val="2"/>
      </rPr>
      <t xml:space="preserve">需求</t>
    </r>
    <r>
      <rPr>
        <b val="true"/>
        <sz val="11"/>
        <color rgb="FFFFFFFF"/>
        <rFont val="Cambria"/>
        <family val="0"/>
        <charset val="1"/>
      </rPr>
      <t xml:space="preserve">(0-2)</t>
    </r>
  </si>
  <si>
    <r>
      <rPr>
        <b val="true"/>
        <sz val="11"/>
        <color rgb="FFFFFFFF"/>
        <rFont val="Arial Unicode MS"/>
        <family val="2"/>
      </rPr>
      <t xml:space="preserve">专业匹配</t>
    </r>
    <r>
      <rPr>
        <b val="true"/>
        <sz val="11"/>
        <color rgb="FFFFFFFF"/>
        <rFont val="Cambria"/>
        <family val="0"/>
        <charset val="1"/>
      </rPr>
      <t xml:space="preserve">(0-1)</t>
    </r>
  </si>
  <si>
    <r>
      <rPr>
        <b val="true"/>
        <sz val="11"/>
        <color rgb="FFFFFFFF"/>
        <rFont val="Arial Unicode MS"/>
        <family val="2"/>
      </rPr>
      <t xml:space="preserve">证据充分</t>
    </r>
    <r>
      <rPr>
        <b val="true"/>
        <sz val="11"/>
        <color rgb="FFFFFFFF"/>
        <rFont val="Cambria"/>
        <family val="0"/>
        <charset val="1"/>
      </rPr>
      <t xml:space="preserve">(0-1)</t>
    </r>
  </si>
  <si>
    <r>
      <rPr>
        <b val="true"/>
        <sz val="11"/>
        <color rgb="FFFFFFFF"/>
        <rFont val="Arial Unicode MS"/>
        <family val="2"/>
      </rPr>
      <t xml:space="preserve">重要性</t>
    </r>
    <r>
      <rPr>
        <b val="true"/>
        <sz val="11"/>
        <color rgb="FFFFFFFF"/>
        <rFont val="Cambria"/>
        <family val="0"/>
        <charset val="1"/>
      </rPr>
      <t xml:space="preserve">(0-1)</t>
    </r>
  </si>
  <si>
    <r>
      <rPr>
        <b val="true"/>
        <sz val="11"/>
        <color rgb="FFFFFFFF"/>
        <rFont val="Arial Unicode MS"/>
        <family val="2"/>
      </rPr>
      <t xml:space="preserve">风险扣分</t>
    </r>
    <r>
      <rPr>
        <b val="true"/>
        <sz val="11"/>
        <color rgb="FFFFFFFF"/>
        <rFont val="Cambria"/>
        <family val="0"/>
        <charset val="1"/>
      </rPr>
      <t xml:space="preserve">(0-1)</t>
    </r>
  </si>
  <si>
    <t xml:space="preserve">总分</t>
  </si>
  <si>
    <t xml:space="preserve">评分理由</t>
  </si>
  <si>
    <t xml:space="preserve">状态</t>
  </si>
  <si>
    <t xml:space="preserve">需专业复核</t>
  </si>
  <si>
    <t xml:space="preserve">家庭测量</t>
  </si>
  <si>
    <t xml:space="preserve">测前要安静坐多久</t>
  </si>
  <si>
    <t xml:space="preserve">“家里量血压要坐多久”</t>
  </si>
  <si>
    <t xml:space="preserve">Q01</t>
  </si>
  <si>
    <t xml:space="preserve">患者及照护者</t>
  </si>
  <si>
    <t xml:space="preserve">测量前需要静坐休息多久，怎么安排测前准备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</si>
  <si>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F05</t>
    </r>
    <r>
      <rPr>
        <sz val="11"/>
        <color theme="1"/>
        <rFont val="Arial Unicode MS"/>
        <family val="2"/>
      </rPr>
      <t xml:space="preserve">给出“安静休息至少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分钟”的标准与简易计时方法；测前顺序：排尿→静坐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分钟→测量</t>
    </r>
  </si>
  <si>
    <t xml:space="preserve">F05</t>
  </si>
  <si>
    <r>
      <rPr>
        <sz val="11"/>
        <color theme="1"/>
        <rFont val="Arial Unicode MS"/>
        <family val="2"/>
      </rPr>
      <t xml:space="preserve">测量前排空膀胱并安静休息至少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分钟</t>
    </r>
  </si>
  <si>
    <t xml:space="preserve">已核对</t>
  </si>
  <si>
    <r>
      <rPr>
        <sz val="11"/>
        <color theme="1"/>
        <rFont val="Arial Unicode MS"/>
        <family val="2"/>
      </rPr>
      <t xml:space="preserve">频次中等；</t>
    </r>
    <r>
      <rPr>
        <sz val="11"/>
        <color theme="1"/>
        <rFont val="Calibri"/>
        <family val="2"/>
        <charset val="1"/>
      </rPr>
      <t xml:space="preserve">F05</t>
    </r>
    <r>
      <rPr>
        <sz val="11"/>
        <color theme="1"/>
        <rFont val="Arial Unicode MS"/>
        <family val="2"/>
      </rPr>
      <t xml:space="preserve">直接支持测前静坐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分钟，准确性基础内容</t>
    </r>
  </si>
  <si>
    <t xml:space="preserve">未开始</t>
  </si>
  <si>
    <t xml:space="preserve">否</t>
  </si>
  <si>
    <t xml:space="preserve">刚运动完能不能量</t>
  </si>
  <si>
    <t xml:space="preserve">“刚运动完能不能量”</t>
  </si>
  <si>
    <t xml:space="preserve">Q02</t>
  </si>
  <si>
    <t xml:space="preserve">患者</t>
  </si>
  <si>
    <t xml:space="preserve">运动后需要间隔多久才能测量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</si>
  <si>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F04</t>
    </r>
    <r>
      <rPr>
        <sz val="11"/>
        <color theme="1"/>
        <rFont val="Arial Unicode MS"/>
        <family val="2"/>
      </rPr>
      <t xml:space="preserve">给出“测量前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Arial Unicode MS"/>
        <family val="2"/>
      </rPr>
      <t xml:space="preserve">分钟避免运动”的要求；说明同一要求覆盖吸烟与含咖啡因饮料；不举行走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家务等具体等待示例（卡内未覆盖，需补充依据后再写）</t>
    </r>
  </si>
  <si>
    <t xml:space="preserve">F04</t>
  </si>
  <si>
    <r>
      <rPr>
        <sz val="11"/>
        <color theme="1"/>
        <rFont val="Arial Unicode MS"/>
        <family val="2"/>
      </rPr>
      <t xml:space="preserve">测量前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Arial Unicode MS"/>
        <family val="2"/>
      </rPr>
      <t xml:space="preserve">分钟避免吸烟、含咖啡因饮料和运动</t>
    </r>
  </si>
  <si>
    <r>
      <rPr>
        <sz val="11"/>
        <color theme="1"/>
        <rFont val="Arial Unicode MS"/>
        <family val="2"/>
      </rPr>
      <t xml:space="preserve">高频；</t>
    </r>
    <r>
      <rPr>
        <sz val="11"/>
        <color theme="1"/>
        <rFont val="Calibri"/>
        <family val="2"/>
        <charset val="1"/>
      </rPr>
      <t xml:space="preserve">F04</t>
    </r>
    <r>
      <rPr>
        <sz val="11"/>
        <color theme="1"/>
        <rFont val="Arial Unicode MS"/>
        <family val="2"/>
      </rPr>
      <t xml:space="preserve">直接支持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Arial Unicode MS"/>
        <family val="2"/>
      </rPr>
      <t xml:space="preserve">分钟间隔，测前清单核心内容</t>
    </r>
  </si>
  <si>
    <t xml:space="preserve">喝咖啡后多久能量</t>
  </si>
  <si>
    <t xml:space="preserve">“喝咖啡后多久量”</t>
  </si>
  <si>
    <t xml:space="preserve">Q03</t>
  </si>
  <si>
    <t xml:space="preserve">喝含咖啡因饮料后需间隔多久测量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</si>
  <si>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F04</t>
    </r>
    <r>
      <rPr>
        <sz val="11"/>
        <color theme="1"/>
        <rFont val="Arial Unicode MS"/>
        <family val="2"/>
      </rPr>
      <t xml:space="preserve">：含咖啡因饮料与运动同列，测量前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Arial Unicode MS"/>
        <family val="2"/>
      </rPr>
      <t xml:space="preserve">分钟避免；可与“运动后”互相引用但保留独立选题</t>
    </r>
  </si>
  <si>
    <r>
      <rPr>
        <sz val="11"/>
        <color theme="1"/>
        <rFont val="Arial Unicode MS"/>
        <family val="2"/>
      </rPr>
      <t xml:space="preserve">低频；</t>
    </r>
    <r>
      <rPr>
        <sz val="11"/>
        <color theme="1"/>
        <rFont val="Calibri"/>
        <family val="2"/>
        <charset val="1"/>
      </rPr>
      <t xml:space="preserve">F04</t>
    </r>
    <r>
      <rPr>
        <sz val="11"/>
        <color theme="1"/>
        <rFont val="Arial Unicode MS"/>
        <family val="2"/>
      </rPr>
      <t xml:space="preserve">直接支持，一句话可讲清，适合短内容</t>
    </r>
  </si>
  <si>
    <t xml:space="preserve">袖带隔着衣服量行不行</t>
  </si>
  <si>
    <t xml:space="preserve">“袖带隔着衣服行吗”；“量血压前要脱外套吗”</t>
  </si>
  <si>
    <r>
      <rPr>
        <sz val="11"/>
        <color theme="1"/>
        <rFont val="Calibri"/>
        <family val="2"/>
        <charset val="1"/>
      </rPr>
      <t xml:space="preserve">Q04</t>
    </r>
    <r>
      <rPr>
        <sz val="11"/>
        <color theme="1"/>
        <rFont val="Arial Unicode M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Q35</t>
    </r>
  </si>
  <si>
    <t xml:space="preserve">袖带与衣物的关系，冬季怎么处理</t>
  </si>
  <si>
    <r>
      <rPr>
        <sz val="11"/>
        <color theme="1"/>
        <rFont val="Arial Unicode MS"/>
        <family val="2"/>
      </rPr>
      <t xml:space="preserve">统一口径：露出测量的上臂，袖带按设备说明接触皮肤（</t>
    </r>
    <r>
      <rPr>
        <sz val="11"/>
        <color theme="1"/>
        <rFont val="Calibri"/>
        <family val="2"/>
        <charset val="1"/>
      </rPr>
      <t xml:space="preserve">F06</t>
    </r>
    <r>
      <rPr>
        <sz val="11"/>
        <color theme="1"/>
        <rFont val="Arial Unicode MS"/>
        <family val="2"/>
      </rPr>
      <t xml:space="preserve">：袖带直接接触上臂皮肤，不隔衣测量）；不将挽袖或只脱外套写成通用解决办法</t>
    </r>
  </si>
  <si>
    <t xml:space="preserve">F06</t>
  </si>
  <si>
    <t xml:space="preserve">袖带直接接触上臂皮肤，不隔衣测量；按设备说明正确放置</t>
  </si>
  <si>
    <r>
      <rPr>
        <sz val="11"/>
        <color theme="1"/>
        <rFont val="Arial Unicode MS"/>
        <family val="2"/>
      </rPr>
      <t xml:space="preserve">高频；</t>
    </r>
    <r>
      <rPr>
        <sz val="11"/>
        <color theme="1"/>
        <rFont val="Calibri"/>
        <family val="2"/>
        <charset val="1"/>
      </rPr>
      <t xml:space="preserve">F06</t>
    </r>
    <r>
      <rPr>
        <sz val="11"/>
        <color theme="1"/>
        <rFont val="Arial Unicode MS"/>
        <family val="2"/>
      </rPr>
      <t xml:space="preserve">直接支持不隔衣测量，秋冬实用，全库最高分</t>
    </r>
  </si>
  <si>
    <t xml:space="preserve">左右手应该选哪边</t>
  </si>
  <si>
    <t xml:space="preserve">“左右手应该选哪边”</t>
  </si>
  <si>
    <t xml:space="preserve">Q05</t>
  </si>
  <si>
    <t xml:space="preserve">首次测量应选哪只手臂，之后是否固定</t>
  </si>
  <si>
    <t xml:space="preserve">拟讲首次双臂都测、后续固定同一手臂；双臂测量与固定手臂的具体建议卡内无依据，先核验再制作</t>
  </si>
  <si>
    <t xml:space="preserve">—</t>
  </si>
  <si>
    <t xml:space="preserve">事实卡未覆盖双臂测量建议</t>
  </si>
  <si>
    <t xml:space="preserve">待核验</t>
  </si>
  <si>
    <t xml:space="preserve">低频；事实卡未覆盖，待核验</t>
  </si>
  <si>
    <t xml:space="preserve">暂缓</t>
  </si>
  <si>
    <t xml:space="preserve">家用血压计怎么买</t>
  </si>
  <si>
    <t xml:space="preserve">“血压计怎么买”</t>
  </si>
  <si>
    <t xml:space="preserve">Q06</t>
  </si>
  <si>
    <t xml:space="preserve">选什么类型、看什么标准、袖带怎么配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</si>
  <si>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：选经验证的上臂式自动血压计、袖带尺寸合适；不推荐品牌；具体认证标准名称需补充核验后再写入</t>
    </r>
  </si>
  <si>
    <t xml:space="preserve">F03</t>
  </si>
  <si>
    <t xml:space="preserve">选用经验证的上臂式自动血压计，袖带尺寸应合适</t>
  </si>
  <si>
    <r>
      <rPr>
        <sz val="11"/>
        <color theme="1"/>
        <rFont val="Arial Unicode MS"/>
        <family val="2"/>
      </rPr>
      <t xml:space="preserve">中高频；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直接支持上臂式与经验证要求，决策型基础内容</t>
    </r>
  </si>
  <si>
    <t xml:space="preserve">袖带太小怎么办</t>
  </si>
  <si>
    <t xml:space="preserve">“袖带太小怎么办”</t>
  </si>
  <si>
    <t xml:space="preserve">Q07</t>
  </si>
  <si>
    <t xml:space="preserve">袖带不合适会怎样，如何选对袖带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</si>
  <si>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强调袖带尺寸应合适；臂围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尺寸的具体测量方法卡内未覆盖，需补充依据后再写；“过小导致读数偏高”的方向性结论同样待核验后补充</t>
    </r>
  </si>
  <si>
    <t xml:space="preserve">袖带尺寸应合适；特殊人群需额外确认设备适用性</t>
  </si>
  <si>
    <r>
      <rPr>
        <sz val="11"/>
        <color theme="1"/>
        <rFont val="Arial Unicode MS"/>
        <family val="2"/>
      </rPr>
      <t xml:space="preserve">中频；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支持“尺寸应合适”，影响准确性且常被忽略</t>
    </r>
  </si>
  <si>
    <t xml:space="preserve">第一次数字高，要不要重测</t>
  </si>
  <si>
    <t xml:space="preserve">“第一次数字高要不要重测”</t>
  </si>
  <si>
    <t xml:space="preserve">Q08</t>
  </si>
  <si>
    <t xml:space="preserve">首次读数偏高时怎么办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</si>
  <si>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：每次测量本就取两次读数并记录；按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：不能仅凭单次读数自行判断；“偏高是否需额外加测”“两次如何取值”不在卡内，不使用“取平均”表述</t>
    </r>
  </si>
  <si>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F10</t>
    </r>
  </si>
  <si>
    <r>
      <rPr>
        <sz val="11"/>
        <color theme="1"/>
        <rFont val="Arial Unicode MS"/>
        <family val="2"/>
      </rPr>
      <t xml:space="preserve">每次测量取两次读数，间隔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分钟，并记录结果；不能仅凭单次读数自行诊断</t>
    </r>
  </si>
  <si>
    <r>
      <rPr>
        <sz val="11"/>
        <color theme="1"/>
        <rFont val="Arial Unicode MS"/>
        <family val="2"/>
      </rPr>
      <t xml:space="preserve">中高频；</t>
    </r>
    <r>
      <rPr>
        <sz val="11"/>
        <color theme="1"/>
        <rFont val="Calibri"/>
        <family val="2"/>
        <charset val="1"/>
      </rPr>
      <t xml:space="preserve">F09/F10</t>
    </r>
    <r>
      <rPr>
        <sz val="11"/>
        <color theme="1"/>
        <rFont val="Arial Unicode MS"/>
        <family val="2"/>
      </rPr>
      <t xml:space="preserve">支持标准流程与单次不足判断；取值方式待核验</t>
    </r>
  </si>
  <si>
    <t xml:space="preserve">两次测量间隔多久</t>
  </si>
  <si>
    <t xml:space="preserve">“两次间隔多久”</t>
  </si>
  <si>
    <t xml:space="preserve">Q09</t>
  </si>
  <si>
    <t xml:space="preserve">同一次测量中两次读数间隔多久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</si>
  <si>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直接回答：间隔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分钟，并记录两次结果；不说“取平均”</t>
    </r>
  </si>
  <si>
    <t xml:space="preserve">F09</t>
  </si>
  <si>
    <r>
      <rPr>
        <sz val="11"/>
        <color theme="1"/>
        <rFont val="Arial Unicode MS"/>
        <family val="2"/>
      </rPr>
      <t xml:space="preserve">每次测量取两次读数，间隔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分钟，并记录结果</t>
    </r>
  </si>
  <si>
    <r>
      <rPr>
        <sz val="11"/>
        <color theme="1"/>
        <rFont val="Arial Unicode MS"/>
        <family val="2"/>
      </rPr>
      <t xml:space="preserve">中频；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直接支持间隔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分钟并记录</t>
    </r>
  </si>
  <si>
    <t xml:space="preserve">一天量几次、什么时候量</t>
  </si>
  <si>
    <t xml:space="preserve">“一天量几次”</t>
  </si>
  <si>
    <t xml:space="preserve">Q10</t>
  </si>
  <si>
    <t xml:space="preserve">每日测量次数和时段怎么安排</t>
  </si>
  <si>
    <r>
      <rPr>
        <sz val="11"/>
        <color theme="1"/>
        <rFont val="Arial Unicode MS"/>
        <family val="2"/>
      </rPr>
      <t xml:space="preserve">拟讲早晚各一次、固定时段的常规安排；但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明确“具体频次和疗程由医疗人员确定”，卡内无日频次依据，先核验再制作</t>
    </r>
  </si>
  <si>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限定：具体频次和疗程由医疗人员确定，卡内无日频次</t>
    </r>
  </si>
  <si>
    <t xml:space="preserve">高频但卡内无日频次依据，待核验后再做</t>
  </si>
  <si>
    <t xml:space="preserve">测量能聊天吗</t>
  </si>
  <si>
    <t xml:space="preserve">“测量能聊天吗”</t>
  </si>
  <si>
    <t xml:space="preserve">Q15</t>
  </si>
  <si>
    <t xml:space="preserve">测量期间能否说话、用手机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</si>
  <si>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F08</t>
    </r>
    <r>
      <rPr>
        <sz val="11"/>
        <color theme="1"/>
        <rFont val="Arial Unicode MS"/>
        <family val="2"/>
      </rPr>
      <t xml:space="preserve">：测量期间保持安静、不说话或使用手机；一句话讲清，适合短内容</t>
    </r>
  </si>
  <si>
    <t xml:space="preserve">F08</t>
  </si>
  <si>
    <t xml:space="preserve">测量期间保持安静，不说话或使用手机</t>
  </si>
  <si>
    <r>
      <rPr>
        <sz val="11"/>
        <color theme="1"/>
        <rFont val="Arial Unicode MS"/>
        <family val="2"/>
      </rPr>
      <t xml:space="preserve">低频；</t>
    </r>
    <r>
      <rPr>
        <sz val="11"/>
        <color theme="1"/>
        <rFont val="Calibri"/>
        <family val="2"/>
        <charset val="1"/>
      </rPr>
      <t xml:space="preserve">F08</t>
    </r>
    <r>
      <rPr>
        <sz val="11"/>
        <color theme="1"/>
        <rFont val="Arial Unicode MS"/>
        <family val="2"/>
      </rPr>
      <t xml:space="preserve">直接支持，短内容</t>
    </r>
  </si>
  <si>
    <t xml:space="preserve">手臂怎么放、要抬多高</t>
  </si>
  <si>
    <t xml:space="preserve">“手臂应该抬多高”</t>
  </si>
  <si>
    <t xml:space="preserve">Q16</t>
  </si>
  <si>
    <t xml:space="preserve">测量时手臂的正确位置和高度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</si>
  <si>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F07</t>
    </r>
    <r>
      <rPr>
        <sz val="11"/>
        <color theme="1"/>
        <rFont val="Arial Unicode MS"/>
        <family val="2"/>
      </rPr>
      <t xml:space="preserve">：手臂有支撑、袖带中部与心脏同高；演示符合该要求的桌面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扶手摆放对比；更多摆放技巧卡内未覆盖，需补充依据后再写</t>
    </r>
  </si>
  <si>
    <t xml:space="preserve">F07</t>
  </si>
  <si>
    <t xml:space="preserve">手臂有支撑，袖带中部与心脏同高</t>
  </si>
  <si>
    <r>
      <rPr>
        <sz val="11"/>
        <color theme="1"/>
        <rFont val="Arial Unicode MS"/>
        <family val="2"/>
      </rPr>
      <t xml:space="preserve">高频；</t>
    </r>
    <r>
      <rPr>
        <sz val="11"/>
        <color theme="1"/>
        <rFont val="Calibri"/>
        <family val="2"/>
        <charset val="1"/>
      </rPr>
      <t xml:space="preserve">F07</t>
    </r>
    <r>
      <rPr>
        <sz val="11"/>
        <color theme="1"/>
        <rFont val="Arial Unicode MS"/>
        <family val="2"/>
      </rPr>
      <t xml:space="preserve">直接支持，演示型内容易出彩</t>
    </r>
  </si>
  <si>
    <t xml:space="preserve">腿可以翘着吗</t>
  </si>
  <si>
    <t xml:space="preserve">“腿可以翘着吗”</t>
  </si>
  <si>
    <t xml:space="preserve">Q17</t>
  </si>
  <si>
    <t xml:space="preserve">跷腿对读数有多大影响</t>
  </si>
  <si>
    <t xml:space="preserve">拟讲跷腿的影响与标准坐姿；腿部摆放要求卡内未覆盖，先核验再制作</t>
  </si>
  <si>
    <r>
      <rPr>
        <sz val="11"/>
        <color theme="1"/>
        <rFont val="Arial Unicode MS"/>
        <family val="2"/>
      </rPr>
      <t xml:space="preserve">事实卡仅覆盖手臂支撑（</t>
    </r>
    <r>
      <rPr>
        <sz val="11"/>
        <color theme="1"/>
        <rFont val="Calibri"/>
        <family val="2"/>
        <charset val="1"/>
      </rPr>
      <t xml:space="preserve">F07</t>
    </r>
    <r>
      <rPr>
        <sz val="11"/>
        <color theme="1"/>
        <rFont val="Arial Unicode MS"/>
        <family val="2"/>
      </rPr>
      <t xml:space="preserve">），未覆盖腿部</t>
    </r>
  </si>
  <si>
    <t xml:space="preserve">中频；卡内未覆盖坐姿腿部要求，待核验</t>
  </si>
  <si>
    <t xml:space="preserve">没有靠背行不行</t>
  </si>
  <si>
    <t xml:space="preserve">“没有靠背行不行”</t>
  </si>
  <si>
    <t xml:space="preserve">Q18</t>
  </si>
  <si>
    <t xml:space="preserve">无靠背时怎么测</t>
  </si>
  <si>
    <t xml:space="preserve">拟讲背部支撑要求与替代做法；卡内未覆盖，先核验再制作</t>
  </si>
  <si>
    <t xml:space="preserve">事实卡未覆盖背部支撑</t>
  </si>
  <si>
    <t xml:space="preserve">低频；卡内未覆盖，待核验</t>
  </si>
  <si>
    <t xml:space="preserve">憋尿会影响读数吗</t>
  </si>
  <si>
    <t xml:space="preserve">“憋尿会影响吗”</t>
  </si>
  <si>
    <t xml:space="preserve">Q19</t>
  </si>
  <si>
    <t xml:space="preserve">膀胱充盈是否影响读数，测前要不要排尿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</si>
  <si>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F05</t>
    </r>
    <r>
      <rPr>
        <sz val="11"/>
        <color theme="1"/>
        <rFont val="Arial Unicode MS"/>
        <family val="2"/>
      </rPr>
      <t xml:space="preserve">：测量前排空膀胱；纳入测前检查清单，与坐多久合成测前准备合集素材</t>
    </r>
  </si>
  <si>
    <r>
      <rPr>
        <sz val="11"/>
        <color theme="1"/>
        <rFont val="Arial Unicode MS"/>
        <family val="2"/>
      </rPr>
      <t xml:space="preserve">低频；</t>
    </r>
    <r>
      <rPr>
        <sz val="11"/>
        <color theme="1"/>
        <rFont val="Calibri"/>
        <family val="2"/>
        <charset val="1"/>
      </rPr>
      <t xml:space="preserve">F05</t>
    </r>
    <r>
      <rPr>
        <sz val="11"/>
        <color theme="1"/>
        <rFont val="Arial Unicode MS"/>
        <family val="2"/>
      </rPr>
      <t xml:space="preserve">直接支持，一句话讲清</t>
    </r>
  </si>
  <si>
    <t xml:space="preserve">一量就紧张、数字偏高怎么办</t>
  </si>
  <si>
    <t xml:space="preserve">“测量时紧张怎么办”</t>
  </si>
  <si>
    <t xml:space="preserve">Q20</t>
  </si>
  <si>
    <t xml:space="preserve">紧张情绪导致读数偏高怎么缓解</t>
  </si>
  <si>
    <t xml:space="preserve">拟给放松做法与“越测越慌”的应对；情绪影响无量化依据，先核验再制作，表述须谨慎</t>
  </si>
  <si>
    <t xml:space="preserve">事实卡未覆盖情绪影响</t>
  </si>
  <si>
    <t xml:space="preserve">低频；情绪影响无量化依据，表述需谨慎</t>
  </si>
  <si>
    <t xml:space="preserve">手腕式和上臂式一样吗</t>
  </si>
  <si>
    <t xml:space="preserve">“手腕式和上臂式一样吗”</t>
  </si>
  <si>
    <t xml:space="preserve">Q21</t>
  </si>
  <si>
    <t xml:space="preserve">两种机型的准确性和适用人群差异</t>
  </si>
  <si>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仅支持“选经验证的上臂式”；腕式准确性对比与适用人群差异卡内未覆盖，先核验再制作</t>
    </r>
  </si>
  <si>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（部分）</t>
    </r>
  </si>
  <si>
    <t xml:space="preserve">仅支持推荐经验证的上臂式，未比较腕式准确性</t>
  </si>
  <si>
    <r>
      <rPr>
        <sz val="11"/>
        <color theme="1"/>
        <rFont val="Arial Unicode MS"/>
        <family val="2"/>
      </rPr>
      <t xml:space="preserve">中频；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仅支持选上臂式，对比内容待核验</t>
    </r>
  </si>
  <si>
    <t xml:space="preserve">血压计用多久要核对一次</t>
  </si>
  <si>
    <t xml:space="preserve">“设备多久核对”</t>
  </si>
  <si>
    <t xml:space="preserve">Q24</t>
  </si>
  <si>
    <t xml:space="preserve">家用设备多久校验、怎么发现不准</t>
  </si>
  <si>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支持“携带测量记录和设备与医疗人员核对”这一做法；核对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校准周期卡内未定，先核验再制作</t>
    </r>
  </si>
  <si>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（部分）</t>
    </r>
  </si>
  <si>
    <t xml:space="preserve">支持携带记录和设备与医疗人员核对；周期未定</t>
  </si>
  <si>
    <r>
      <rPr>
        <sz val="11"/>
        <color theme="1"/>
        <rFont val="Arial Unicode MS"/>
        <family val="2"/>
      </rPr>
      <t xml:space="preserve">中频；核对周期无依据，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仅支持可携设备核对</t>
    </r>
  </si>
  <si>
    <t xml:space="preserve">每次都测五遍好吗</t>
  </si>
  <si>
    <t xml:space="preserve">“每次都测五遍好吗”</t>
  </si>
  <si>
    <t xml:space="preserve">Q32</t>
  </si>
  <si>
    <t xml:space="preserve">反复多次测量是否更准，测多少遍合适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</si>
  <si>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：标准做法为每次取两次读数、间隔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分钟；“测五遍是否有害”卡内未覆盖，不展开</t>
    </r>
  </si>
  <si>
    <r>
      <rPr>
        <sz val="11"/>
        <color theme="1"/>
        <rFont val="Arial Unicode MS"/>
        <family val="2"/>
      </rPr>
      <t xml:space="preserve">中低频；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支持标准两次读数，过度测量影响不展开</t>
    </r>
  </si>
  <si>
    <t xml:space="preserve">记录随访</t>
  </si>
  <si>
    <t xml:space="preserve">血压记录要保留哪些数值</t>
  </si>
  <si>
    <t xml:space="preserve">“记录保留哪些数值”</t>
  </si>
  <si>
    <t xml:space="preserve">Q22</t>
  </si>
  <si>
    <t xml:space="preserve">一次记录应包含哪些信息才对复诊有用</t>
  </si>
  <si>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支持“记录结果”、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支持“携带记录核对”，但记录字段卡内未定；拟给记录模板，先核验字段依据</t>
    </r>
  </si>
  <si>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（部分）</t>
    </r>
  </si>
  <si>
    <t xml:space="preserve">支持需记录结果并携带记录；具体字段未定</t>
  </si>
  <si>
    <t xml:space="preserve">中频；记录字段无直接依据，待核验</t>
  </si>
  <si>
    <t xml:space="preserve">纸质记录还是手机记录</t>
  </si>
  <si>
    <t xml:space="preserve">“纸质记录还是手机记录”</t>
  </si>
  <si>
    <t xml:space="preserve">Q23</t>
  </si>
  <si>
    <t xml:space="preserve">患者（含不熟悉手机的老人）</t>
  </si>
  <si>
    <t xml:space="preserve">两种记录方式怎么选，老人用哪个顺手</t>
  </si>
  <si>
    <t xml:space="preserve">拟对比两种方式优劣、推荐“老人顺手优先、能坚持的才有效”；无权威依据支撑单一答案，核验通过前不得发布</t>
  </si>
  <si>
    <t xml:space="preserve">无权威依据，属经验型内容</t>
  </si>
  <si>
    <t xml:space="preserve">中频；无权威依据支撑单一答案，需先核验</t>
  </si>
  <si>
    <t xml:space="preserve">早上和晚上数字不同正常吗</t>
  </si>
  <si>
    <t xml:space="preserve">“晚上和早上不同正常吗”</t>
  </si>
  <si>
    <t xml:space="preserve">Q25</t>
  </si>
  <si>
    <t xml:space="preserve">血压早晚波动的规律，差异多大算正常</t>
  </si>
  <si>
    <t xml:space="preserve">拟讲昼夜波动规律与合理范围、何时告诉医生；卡内未覆盖，先核验再制作</t>
  </si>
  <si>
    <t xml:space="preserve">事实卡未覆盖血压昼夜变异</t>
  </si>
  <si>
    <t xml:space="preserve">中高频；昼夜波动规律卡内未覆盖，待核验</t>
  </si>
  <si>
    <t xml:space="preserve">漏记一天怎么办</t>
  </si>
  <si>
    <t xml:space="preserve">“漏记一天怎么办”</t>
  </si>
  <si>
    <t xml:space="preserve">Q27</t>
  </si>
  <si>
    <t xml:space="preserve">忘记记录要不要补，会不会影响医生判断</t>
  </si>
  <si>
    <r>
      <rPr>
        <sz val="11"/>
        <color theme="1"/>
        <rFont val="Arial Unicode MS"/>
        <family val="2"/>
      </rPr>
      <t xml:space="preserve">拟讲“漏一两天不影响趋势判断”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Arial Unicode MS"/>
        <family val="2"/>
      </rPr>
      <t xml:space="preserve">防漏技巧；“漏记影响”的解释口径无卡内依据，先核验再制作</t>
    </r>
  </si>
  <si>
    <t xml:space="preserve">事实卡未覆盖漏记情形</t>
  </si>
  <si>
    <t xml:space="preserve">高频焦虑型；解释口径无依据，待核验</t>
  </si>
  <si>
    <t xml:space="preserve">能只记最低的一次吗</t>
  </si>
  <si>
    <t xml:space="preserve">“能只记最低的一次吗”</t>
  </si>
  <si>
    <t xml:space="preserve">Q31</t>
  </si>
  <si>
    <t xml:space="preserve">挑着记录会不会误导医生和用药</t>
  </si>
  <si>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支持“不能仅凭单次读数自行诊断”，可作为引导如实记录的出发点；“挑选记录的危害”无直接条文，先核验</t>
    </r>
  </si>
  <si>
    <t xml:space="preserve">不能仅凭单次读数自行诊断；挑选记录无直接条文</t>
  </si>
  <si>
    <t xml:space="preserve">低频；关乎诚信记录，但直接依据不足，待核验</t>
  </si>
  <si>
    <t xml:space="preserve">特殊情况</t>
  </si>
  <si>
    <t xml:space="preserve">老人手抖，怎么测才准</t>
  </si>
  <si>
    <t xml:space="preserve">“老人手抖怎么测”</t>
  </si>
  <si>
    <t xml:space="preserve">Q14</t>
  </si>
  <si>
    <t xml:space="preserve">照护者</t>
  </si>
  <si>
    <t xml:space="preserve">手抖老人能否独立完成测量及替代办法</t>
  </si>
  <si>
    <t xml:space="preserve">拟给照护者协助测量、全自动上臂式对动作依赖低等替代做法；卡内未覆盖，核验通过后再制作</t>
  </si>
  <si>
    <t xml:space="preserve">事实卡未覆盖</t>
  </si>
  <si>
    <r>
      <rPr>
        <sz val="11"/>
        <color theme="1"/>
        <rFont val="Arial Unicode MS"/>
        <family val="2"/>
      </rPr>
      <t xml:space="preserve">低频但直击</t>
    </r>
    <r>
      <rPr>
        <sz val="11"/>
        <color theme="1"/>
        <rFont val="Calibri"/>
        <family val="2"/>
        <charset val="1"/>
      </rPr>
      <t xml:space="preserve">60+</t>
    </r>
    <r>
      <rPr>
        <sz val="11"/>
        <color theme="1"/>
        <rFont val="Arial Unicode MS"/>
        <family val="2"/>
      </rPr>
      <t xml:space="preserve">受众痛点；卡内未覆盖，待核验</t>
    </r>
  </si>
  <si>
    <t xml:space="preserve">头晕但量出来正常，怎么办</t>
  </si>
  <si>
    <t xml:space="preserve">“头晕但数字正常怎么办”</t>
  </si>
  <si>
    <t xml:space="preserve">Q26</t>
  </si>
  <si>
    <t xml:space="preserve">症状与读数不一致时该信哪个、要不要就医</t>
  </si>
  <si>
    <r>
      <rPr>
        <sz val="11"/>
        <color theme="1"/>
        <rFont val="Calibri"/>
        <family val="2"/>
        <charset val="1"/>
      </rPr>
      <t xml:space="preserve">F01/F10</t>
    </r>
    <r>
      <rPr>
        <sz val="11"/>
        <color theme="1"/>
        <rFont val="Arial Unicode MS"/>
        <family val="2"/>
      </rPr>
      <t xml:space="preserve">提供安全框架（家庭监测不替代随访、不能仅凭单次读数诊断）；症状处理无依据，须医生复核表述</t>
    </r>
  </si>
  <si>
    <r>
      <rPr>
        <sz val="11"/>
        <color theme="1"/>
        <rFont val="Calibri"/>
        <family val="2"/>
        <charset val="1"/>
      </rPr>
      <t xml:space="preserve">F01</t>
    </r>
    <r>
      <rPr>
        <sz val="11"/>
        <color theme="1"/>
        <rFont val="Arial Unicode M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（部分）</t>
    </r>
  </si>
  <si>
    <t xml:space="preserve">仅提供安全引导框架，症状判断无依据</t>
  </si>
  <si>
    <r>
      <rPr>
        <sz val="11"/>
        <color theme="1"/>
        <rFont val="Arial Unicode MS"/>
        <family val="2"/>
      </rPr>
      <t xml:space="preserve">涉就医安全；</t>
    </r>
    <r>
      <rPr>
        <sz val="11"/>
        <color theme="1"/>
        <rFont val="Calibri"/>
        <family val="2"/>
        <charset val="1"/>
      </rPr>
      <t xml:space="preserve">F01/F10</t>
    </r>
    <r>
      <rPr>
        <sz val="11"/>
        <color theme="1"/>
        <rFont val="Arial Unicode MS"/>
        <family val="2"/>
      </rPr>
      <t xml:space="preserve">仅安全框架，须医生复核</t>
    </r>
  </si>
  <si>
    <t xml:space="preserve">是</t>
  </si>
  <si>
    <t xml:space="preserve">出门旅游要不要带血压计</t>
  </si>
  <si>
    <t xml:space="preserve">“旅游带不带设备”</t>
  </si>
  <si>
    <t xml:space="preserve">Q28</t>
  </si>
  <si>
    <t xml:space="preserve">旅行期间是否坚持测量及携带建议</t>
  </si>
  <si>
    <t xml:space="preserve">拟讲作息改变期间测量的意义与便携收纳做法；卡内未覆盖，核验通过后再制作</t>
  </si>
  <si>
    <t xml:space="preserve">中低频轻松话题；卡内未覆盖，待核验</t>
  </si>
  <si>
    <t xml:space="preserve">一家人共用一台血压计行吗</t>
  </si>
  <si>
    <t xml:space="preserve">“几个人共用一台行吗”</t>
  </si>
  <si>
    <t xml:space="preserve">Q29</t>
  </si>
  <si>
    <t xml:space="preserve">家庭照护者</t>
  </si>
  <si>
    <t xml:space="preserve">共用设备是否影响读数、怎么管理</t>
  </si>
  <si>
    <t xml:space="preserve">拟讲共用可行性、分别记录分开设档；共用建议卡内未覆盖，先核验再制作</t>
  </si>
  <si>
    <t xml:space="preserve">事实卡未覆盖共用情形</t>
  </si>
  <si>
    <t xml:space="preserve">高频家庭场景；共用建议无依据，待核验</t>
  </si>
  <si>
    <t xml:space="preserve">怀孕后还能用家里的血压计吗</t>
  </si>
  <si>
    <t xml:space="preserve">“怀孕后还能用同一个设备吗”</t>
  </si>
  <si>
    <t xml:space="preserve">Q33</t>
  </si>
  <si>
    <r>
      <rPr>
        <sz val="11"/>
        <color theme="1"/>
        <rFont val="Arial Unicode MS"/>
        <family val="2"/>
      </rPr>
      <t xml:space="preserve">备孕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孕期家庭成员</t>
    </r>
  </si>
  <si>
    <t xml:space="preserve">家用设备在孕期是否适用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</si>
  <si>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适用与限定：特殊人群需额外确认设备适用性；孕期读数解读与随访遵产科医生（</t>
    </r>
    <r>
      <rPr>
        <sz val="11"/>
        <color theme="1"/>
        <rFont val="Calibri"/>
        <family val="2"/>
        <charset val="1"/>
      </rPr>
      <t xml:space="preserve">F01</t>
    </r>
    <r>
      <rPr>
        <sz val="11"/>
        <color theme="1"/>
        <rFont val="Arial Unicode MS"/>
        <family val="2"/>
      </rPr>
      <t xml:space="preserve">）；不做孕期具体指导</t>
    </r>
  </si>
  <si>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（适用与限定）</t>
    </r>
  </si>
  <si>
    <t xml:space="preserve">特殊人群需额外确认设备适用性</t>
  </si>
  <si>
    <r>
      <rPr>
        <sz val="11"/>
        <color theme="1"/>
        <rFont val="Arial Unicode MS"/>
        <family val="2"/>
      </rPr>
      <t xml:space="preserve">超主受众定位；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限定条款支持“需确认适用性”，涉孕产须复核</t>
    </r>
  </si>
  <si>
    <t xml:space="preserve">小孩可以用成人的袖带吗</t>
  </si>
  <si>
    <t xml:space="preserve">“小孩可以用成人袖带吗”</t>
  </si>
  <si>
    <t xml:space="preserve">Q34</t>
  </si>
  <si>
    <t xml:space="preserve">隔代照护家庭</t>
  </si>
  <si>
    <t xml:space="preserve">儿童测量是否需专用袖带及原因</t>
  </si>
  <si>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仅支持“袖带尺寸应合适”；儿童专用规格属儿科范畴卡内未覆盖，只做一句话提醒并引导儿科</t>
    </r>
  </si>
  <si>
    <t xml:space="preserve">仅“袖带尺寸应合适”，儿童规格未覆盖</t>
  </si>
  <si>
    <t xml:space="preserve">超主受众定位、低频；卡内无儿童袖带依据</t>
  </si>
  <si>
    <t xml:space="preserve">就医沟通</t>
  </si>
  <si>
    <t xml:space="preserve">什么时候带记录去复诊、怎么给医生看</t>
  </si>
  <si>
    <t xml:space="preserve">“什么时候带记录去复诊”</t>
  </si>
  <si>
    <t xml:space="preserve">Q11</t>
  </si>
  <si>
    <t xml:space="preserve">复诊时机与记录的呈现方式</t>
  </si>
  <si>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支持携带测量记录和设备与医疗人员核对；复诊时机卡内未定，先核验再制作</t>
    </r>
  </si>
  <si>
    <t xml:space="preserve">支持携带记录和设备核对；时机未定</t>
  </si>
  <si>
    <r>
      <rPr>
        <sz val="11"/>
        <color theme="1"/>
        <rFont val="Arial Unicode MS"/>
        <family val="2"/>
      </rPr>
      <t xml:space="preserve">随访沟通核心选题；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支持带什么，时机待核验</t>
    </r>
  </si>
  <si>
    <t xml:space="preserve">血压正常了，能不能停药</t>
  </si>
  <si>
    <t xml:space="preserve">“正常了能不能停药”</t>
  </si>
  <si>
    <t xml:space="preserve">Q12</t>
  </si>
  <si>
    <t xml:space="preserve">读数正常后自行停药的风险与正确做法</t>
  </si>
  <si>
    <r>
      <rPr>
        <sz val="11"/>
        <color theme="1"/>
        <rFont val="Arial Unicode MS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F02</t>
    </r>
    <r>
      <rPr>
        <sz val="11"/>
        <color theme="1"/>
        <rFont val="Arial Unicode MS"/>
        <family val="2"/>
      </rPr>
      <t xml:space="preserve">直接回答：不要仅因家庭读数改变而自行停药，任何用药调整需与医疗人员讨论；常设提醒内容</t>
    </r>
  </si>
  <si>
    <t xml:space="preserve">F02</t>
  </si>
  <si>
    <t xml:space="preserve">不要仅因家庭读数改变而自行停药；任何用药调整需与医疗人员讨论</t>
  </si>
  <si>
    <r>
      <rPr>
        <sz val="11"/>
        <color theme="1"/>
        <rFont val="Arial Unicode MS"/>
        <family val="2"/>
      </rPr>
      <t xml:space="preserve">频次极低但</t>
    </r>
    <r>
      <rPr>
        <sz val="11"/>
        <color theme="1"/>
        <rFont val="Calibri"/>
        <family val="2"/>
        <charset val="1"/>
      </rPr>
      <t xml:space="preserve">F02</t>
    </r>
    <r>
      <rPr>
        <sz val="11"/>
        <color theme="1"/>
        <rFont val="Arial Unicode MS"/>
        <family val="2"/>
      </rPr>
      <t xml:space="preserve">直接支持，安全权重最高</t>
    </r>
  </si>
  <si>
    <t xml:space="preserve">忘了吃药怎么办、要不要补</t>
  </si>
  <si>
    <t xml:space="preserve">“忘了吃药怎么办”</t>
  </si>
  <si>
    <t xml:space="preserve">Q13</t>
  </si>
  <si>
    <t xml:space="preserve">漏服降压药能否补服，如何防漏</t>
  </si>
  <si>
    <r>
      <rPr>
        <sz val="11"/>
        <color theme="1"/>
        <rFont val="Arial Unicode MS"/>
        <family val="2"/>
      </rPr>
      <t xml:space="preserve">补服规则因药物而异，卡内未覆盖；只可讲“咨询医生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药师”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Arial Unicode MS"/>
        <family val="2"/>
      </rPr>
      <t xml:space="preserve">防漏工具，具体规则须医生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药师复核</t>
    </r>
  </si>
  <si>
    <t xml:space="preserve">事实卡未覆盖漏服处理</t>
  </si>
  <si>
    <t xml:space="preserve">高频高险；卡内无依据，只讲通用原则并转询医生</t>
  </si>
  <si>
    <t xml:space="preserve">视频问诊时怎么展示血压记录</t>
  </si>
  <si>
    <t xml:space="preserve">“视频问诊怎么展示记录”</t>
  </si>
  <si>
    <t xml:space="preserve">Q30</t>
  </si>
  <si>
    <t xml:space="preserve">线上问诊时如何高效呈现家庭记录</t>
  </si>
  <si>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部分支持携带记录与医疗人员核对；视频问诊场景细节无依据，核验通过后再制作</t>
    </r>
  </si>
  <si>
    <t xml:space="preserve">携带记录核对的原则支持；视频细节未覆盖</t>
  </si>
  <si>
    <t xml:space="preserve">低频；视频场景细节无依据，待核验</t>
  </si>
  <si>
    <t xml:space="preserve">医生说的目标值和网上不一样，听谁的</t>
  </si>
  <si>
    <t xml:space="preserve">“医生说的目标值和网上不同怎么办”</t>
  </si>
  <si>
    <t xml:space="preserve">Q36</t>
  </si>
  <si>
    <t xml:space="preserve">个体化目标与网络通用标准的矛盾怎么理解</t>
  </si>
  <si>
    <t xml:space="preserve">拟讲目标值个体化逻辑、以主治医生为准；个体化目标依据卡内未覆盖，先核验再制作</t>
  </si>
  <si>
    <t xml:space="preserve">事实卡未覆盖降压目标</t>
  </si>
  <si>
    <t xml:space="preserve">低频但是焦虑点；个体化目标依据待核验</t>
  </si>
  <si>
    <t xml:space="preserve">周次</t>
  </si>
  <si>
    <t xml:space="preserve">任务类型</t>
  </si>
  <si>
    <t xml:space="preserve">选题库序号</t>
  </si>
  <si>
    <r>
      <rPr>
        <b val="true"/>
        <sz val="11"/>
        <color rgb="FFFFFFFF"/>
        <rFont val="Arial Unicode MS"/>
        <family val="2"/>
      </rPr>
      <t xml:space="preserve">用时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Arial Unicode MS"/>
        <family val="2"/>
      </rPr>
      <t xml:space="preserve">分钟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</si>
  <si>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任务说明</t>
  </si>
  <si>
    <r>
      <rPr>
        <sz val="11"/>
        <color theme="1"/>
        <rFont val="Arial Unicode M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周</t>
    </r>
  </si>
  <si>
    <t xml:space="preserve">制作</t>
  </si>
  <si>
    <r>
      <rPr>
        <sz val="11"/>
        <color theme="1"/>
        <rFont val="Arial Unicode MS"/>
        <family val="2"/>
      </rPr>
      <t xml:space="preserve">全库最高分（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/F06</t>
    </r>
    <r>
      <rPr>
        <sz val="11"/>
        <color theme="1"/>
        <rFont val="Arial Unicode MS"/>
        <family val="2"/>
      </rPr>
      <t xml:space="preserve">）；统一口径“露出测量的上臂，袖带按说明接触皮肤”，不将挽袖或只脱外套写成通用办法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</si>
  <si>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/F04</t>
    </r>
    <r>
      <rPr>
        <sz val="11"/>
        <color theme="1"/>
        <rFont val="Arial Unicode MS"/>
        <family val="2"/>
      </rPr>
      <t xml:space="preserve">；测前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Arial Unicode MS"/>
        <family val="2"/>
      </rPr>
      <t xml:space="preserve">分钟避免运动（同覆盖吸烟、咖啡因），做“测前避免清单”</t>
    </r>
  </si>
  <si>
    <t xml:space="preserve">核验</t>
  </si>
  <si>
    <t xml:space="preserve">检索“漏记影响趋势判断”的依据；未通过核验前该选题置“暂缓”，不得发布</t>
  </si>
  <si>
    <t xml:space="preserve">检索多人共用设备的建议；未通过核验前该选题置“暂缓”</t>
  </si>
  <si>
    <r>
      <rPr>
        <sz val="11"/>
        <color theme="1"/>
        <rFont val="Arial Unicode M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Arial Unicode MS"/>
        <family val="2"/>
      </rPr>
      <t xml:space="preserve">周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</si>
  <si>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/F07</t>
    </r>
    <r>
      <rPr>
        <sz val="11"/>
        <color theme="1"/>
        <rFont val="Arial Unicode MS"/>
        <family val="2"/>
      </rPr>
      <t xml:space="preserve">；演示“手臂有支撑、袖带与心脏同高”，短视频易出彩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</si>
  <si>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/F03</t>
    </r>
    <r>
      <rPr>
        <sz val="11"/>
        <color theme="1"/>
        <rFont val="Arial Unicode MS"/>
        <family val="2"/>
      </rPr>
      <t xml:space="preserve">；讲选经验证的上臂式、袖带尺寸应合适，不提品牌；认证标准名称与尺寸测量方法先补充核验</t>
    </r>
  </si>
  <si>
    <r>
      <rPr>
        <sz val="11"/>
        <color theme="1"/>
        <rFont val="Arial Unicode MS"/>
        <family val="2"/>
      </rPr>
      <t xml:space="preserve">检索家庭血压日频次与时段建议（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明确频次由医生确定，需指南原文）</t>
    </r>
  </si>
  <si>
    <t xml:space="preserve">检索血压昼夜波动规律与家庭记录合理范围</t>
  </si>
  <si>
    <r>
      <rPr>
        <sz val="11"/>
        <color theme="1"/>
        <rFont val="Arial Unicode M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Arial Unicode MS"/>
        <family val="2"/>
      </rPr>
      <t xml:space="preserve">周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</si>
  <si>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/F03</t>
    </r>
    <r>
      <rPr>
        <sz val="11"/>
        <color theme="1"/>
        <rFont val="Arial Unicode MS"/>
        <family val="2"/>
      </rPr>
      <t xml:space="preserve">；强调袖带尺寸应合适；尺寸测量方法与“过小致偏高”结论均待核验后再写入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</si>
  <si>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/F09+F10</t>
    </r>
    <r>
      <rPr>
        <sz val="11"/>
        <color theme="1"/>
        <rFont val="Arial Unicode MS"/>
        <family val="2"/>
      </rPr>
      <t xml:space="preserve">；讲“每次取两次读数、间隔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分钟并记录”，不使用“取平均”表述</t>
    </r>
  </si>
  <si>
    <r>
      <rPr>
        <sz val="11"/>
        <color theme="1"/>
        <rFont val="Arial Unicode MS"/>
        <family val="2"/>
      </rPr>
      <t xml:space="preserve">确定家庭血压记录应含字段（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仅写“记录结果”），补事实卡后做记录模板</t>
    </r>
  </si>
  <si>
    <r>
      <rPr>
        <sz val="11"/>
        <color theme="1"/>
        <rFont val="Arial Unicode MS"/>
        <family val="2"/>
      </rPr>
      <t xml:space="preserve">确定复诊时机建议（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Arial Unicode MS"/>
        <family val="2"/>
      </rPr>
      <t xml:space="preserve">已支持带什么，时机需补充依据）</t>
    </r>
  </si>
  <si>
    <r>
      <rPr>
        <sz val="11"/>
        <color theme="1"/>
        <rFont val="Arial Unicode M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周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</si>
  <si>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/F05</t>
    </r>
    <r>
      <rPr>
        <sz val="11"/>
        <color theme="1"/>
        <rFont val="Arial Unicode MS"/>
        <family val="2"/>
      </rPr>
      <t xml:space="preserve">；测前“排尿→静坐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分钟→测量”顺序，可与憋尿、能聊天等合集引用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</si>
  <si>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/F09</t>
    </r>
    <r>
      <rPr>
        <sz val="11"/>
        <color theme="1"/>
        <rFont val="Arial Unicode MS"/>
        <family val="2"/>
      </rPr>
      <t xml:space="preserve">；一句话讲清“两次读数、间隔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分钟、记录”</t>
    </r>
  </si>
  <si>
    <r>
      <rPr>
        <sz val="11"/>
        <color theme="1"/>
        <rFont val="Arial Unicode MS"/>
        <family val="2"/>
      </rPr>
      <t xml:space="preserve">检索腕式与上臂式准确性对比（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Arial Unicode MS"/>
        <family val="2"/>
      </rPr>
      <t xml:space="preserve">仅支持选上臂式）</t>
    </r>
  </si>
  <si>
    <r>
      <rPr>
        <sz val="11"/>
        <color theme="1"/>
        <rFont val="Arial Unicode MS"/>
        <family val="2"/>
      </rPr>
      <t xml:space="preserve">检索漏服处理依据并同步送医生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药师复核；未复核前不得制作</t>
    </r>
  </si>
  <si>
    <t xml:space="preserve">备选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</si>
  <si>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/F09</t>
    </r>
    <r>
      <rPr>
        <sz val="11"/>
        <color theme="1"/>
        <rFont val="Arial Unicode MS"/>
        <family val="2"/>
      </rPr>
      <t xml:space="preserve">；标准两次读数，过度测量影响不展开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</si>
  <si>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/F05</t>
    </r>
    <r>
      <rPr>
        <sz val="11"/>
        <color theme="1"/>
        <rFont val="Arial Unicode MS"/>
        <family val="2"/>
      </rPr>
      <t xml:space="preserve">；一句话内容，适合并入测前合集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</si>
  <si>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Arial Unicode M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/F08</t>
    </r>
    <r>
      <rPr>
        <sz val="11"/>
        <color theme="1"/>
        <rFont val="Arial Unicode MS"/>
        <family val="2"/>
      </rPr>
      <t xml:space="preserve">；测量中不说话不用手机，短内容</t>
    </r>
  </si>
  <si>
    <r>
      <rPr>
        <sz val="11"/>
        <color theme="1"/>
        <rFont val="Arial Unicode MS"/>
        <family val="2"/>
      </rPr>
      <t xml:space="preserve">说明：每周约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Arial Unicode MS"/>
        <family val="2"/>
      </rPr>
      <t xml:space="preserve">小时</t>
    </r>
    <r>
      <rPr>
        <sz val="11"/>
        <color theme="1"/>
        <rFont val="Calibri"/>
        <family val="2"/>
        <charset val="1"/>
      </rPr>
      <t xml:space="preserve">=2</t>
    </r>
    <r>
      <rPr>
        <sz val="11"/>
        <color theme="1"/>
        <rFont val="Arial Unicode MS"/>
        <family val="2"/>
      </rPr>
      <t xml:space="preserve">条制作（各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Arial Unicode MS"/>
        <family val="2"/>
      </rPr>
      <t xml:space="preserve">分钟）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Arial Unicode MS"/>
        <family val="2"/>
      </rPr>
      <t xml:space="preserve">项核验（各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Arial Unicode MS"/>
        <family val="2"/>
      </rPr>
      <t xml:space="preserve">分钟）</t>
    </r>
    <r>
      <rPr>
        <sz val="11"/>
        <color theme="1"/>
        <rFont val="Calibri"/>
        <family val="2"/>
        <charset val="1"/>
      </rPr>
      <t xml:space="preserve">=120</t>
    </r>
    <r>
      <rPr>
        <sz val="11"/>
        <color theme="1"/>
        <rFont val="Arial Unicode MS"/>
        <family val="2"/>
      </rPr>
      <t xml:space="preserve">分钟，每周合计见下方“周用时核对”；“备选”行不计入，如启用需在当周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Arial Unicode MS"/>
        <family val="2"/>
      </rPr>
      <t xml:space="preserve">分钟额度内置换。制作题均选自“已核对”选题；核验任务未通过前，对应选题状态为“暂缓”、不得制作发布。第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周末将核验结果回填选题库评分并重排次月清单。</t>
    </r>
  </si>
  <si>
    <t xml:space="preserve">周用时核对</t>
  </si>
  <si>
    <r>
      <rPr>
        <sz val="11"/>
        <color theme="1"/>
        <rFont val="Arial Unicode MS"/>
        <family val="2"/>
      </rPr>
      <t xml:space="preserve">合计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Arial Unicode MS"/>
        <family val="2"/>
      </rPr>
      <t xml:space="preserve">分钟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</si>
  <si>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Arial Unicode MS"/>
        <family val="2"/>
      </rPr>
      <t xml:space="preserve">校验</t>
    </r>
    <r>
      <rPr>
        <sz val="11"/>
        <color theme="1"/>
        <rFont val="Calibri"/>
        <family val="2"/>
        <charset val="1"/>
      </rPr>
      <t xml:space="preserve">(≤120)</t>
    </r>
  </si>
  <si>
    <t xml:space="preserve">患者原话</t>
  </si>
  <si>
    <t xml:space="preserve">必须复核的原因</t>
  </si>
  <si>
    <t xml:space="preserve">建议复核人</t>
  </si>
  <si>
    <t xml:space="preserve">涉症状与就医判断，表述不当可能延误就医；卡内仅安全框架</t>
  </si>
  <si>
    <t xml:space="preserve">心内科医生</t>
  </si>
  <si>
    <t xml:space="preserve">孕期属特殊人群，超出账号主受众定位；孕期具体管理须产科确认</t>
  </si>
  <si>
    <r>
      <rPr>
        <sz val="11"/>
        <color theme="1"/>
        <rFont val="Arial Unicode MS"/>
        <family val="2"/>
      </rPr>
      <t xml:space="preserve">产科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内科医生</t>
    </r>
  </si>
  <si>
    <t xml:space="preserve">无</t>
  </si>
  <si>
    <t xml:space="preserve">儿童袖带规格属儿科范畴，卡内未覆盖</t>
  </si>
  <si>
    <t xml:space="preserve">儿科医生</t>
  </si>
  <si>
    <r>
      <rPr>
        <sz val="11"/>
        <color theme="1"/>
        <rFont val="Calibri"/>
        <family val="2"/>
        <charset val="1"/>
      </rPr>
      <t xml:space="preserve">F02</t>
    </r>
    <r>
      <rPr>
        <sz val="11"/>
        <color theme="1"/>
        <rFont val="Arial Unicode MS"/>
        <family val="2"/>
      </rPr>
      <t xml:space="preserve">虽直接支持“不自行停药”，涉用药安全仍须医生确认表述</t>
    </r>
  </si>
  <si>
    <t xml:space="preserve">补服规则因药物而异，卡内未覆盖</t>
  </si>
  <si>
    <r>
      <rPr>
        <sz val="11"/>
        <color theme="1"/>
        <rFont val="Arial Unicode MS"/>
        <family val="2"/>
      </rPr>
      <t xml:space="preserve">心内科医生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临床药师</t>
    </r>
  </si>
  <si>
    <r>
      <rPr>
        <sz val="11"/>
        <color theme="1"/>
        <rFont val="Arial Unicode MS"/>
        <family val="2"/>
      </rPr>
      <t xml:space="preserve">以上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个选题发布前必须经对应专业医生复核；复核通过后在“选题库”中将对应行“需专业复核”改为“否”。本表与选题库</t>
    </r>
    <r>
      <rPr>
        <sz val="11"/>
        <color theme="1"/>
        <rFont val="Calibri"/>
        <family val="2"/>
        <charset val="1"/>
      </rPr>
      <t xml:space="preserve">U</t>
    </r>
    <r>
      <rPr>
        <sz val="11"/>
        <color theme="1"/>
        <rFont val="Arial Unicode MS"/>
        <family val="2"/>
      </rPr>
      <t xml:space="preserve">列保持人工同步。事实卡（</t>
    </r>
    <r>
      <rPr>
        <sz val="11"/>
        <color theme="1"/>
        <rFont val="Calibri"/>
        <family val="2"/>
        <charset val="1"/>
      </rPr>
      <t xml:space="preserve">F01-F10</t>
    </r>
    <r>
      <rPr>
        <sz val="11"/>
        <color theme="1"/>
        <rFont val="Arial Unicode MS"/>
        <family val="2"/>
      </rPr>
      <t xml:space="preserve">）当前状态为“来源核对、医生未签署”。</t>
    </r>
  </si>
  <si>
    <t xml:space="preserve">待核验点</t>
  </si>
  <si>
    <t xml:space="preserve">核验前处理</t>
  </si>
  <si>
    <t xml:space="preserve">双臂测量与固定手臂的建议（如首次双臂对比、以高侧为准）需检索指南原文</t>
  </si>
  <si>
    <t xml:space="preserve">暂缓，核验通过后再排期</t>
  </si>
  <si>
    <r>
      <rPr>
        <sz val="11"/>
        <color theme="1"/>
        <rFont val="Arial Unicode MS"/>
        <family val="2"/>
      </rPr>
      <t xml:space="preserve">家庭血压监测的日频次与时段建议（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明确频次由医疗人员确定，需检索指南原文）</t>
    </r>
  </si>
  <si>
    <t xml:space="preserve">腿部摆放对读数的影响及标准坐姿要求</t>
  </si>
  <si>
    <t xml:space="preserve">背部支撑要求及无靠背时的替代做法</t>
  </si>
  <si>
    <r>
      <rPr>
        <sz val="11"/>
        <color theme="1"/>
        <rFont val="Arial Unicode MS"/>
        <family val="2"/>
      </rPr>
      <t xml:space="preserve">情绪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紧张对家庭读数影响的量化证据与缓解方法</t>
    </r>
  </si>
  <si>
    <t xml:space="preserve">腕式与上臂式准确性对比及腕式适用人群</t>
  </si>
  <si>
    <r>
      <rPr>
        <sz val="11"/>
        <color theme="1"/>
        <rFont val="Arial Unicode MS"/>
        <family val="2"/>
      </rPr>
      <t xml:space="preserve">家用血压计校验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核对周期及发现设备不准的方法</t>
    </r>
  </si>
  <si>
    <r>
      <rPr>
        <sz val="11"/>
        <color theme="1"/>
        <rFont val="Arial Unicode MS"/>
        <family val="2"/>
      </rPr>
      <t xml:space="preserve">家庭血压记录应含字段（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仅写“记录结果”）</t>
    </r>
  </si>
  <si>
    <t xml:space="preserve">两种记录方式对比的依据；如无权威依据则不得作为结论发布</t>
  </si>
  <si>
    <t xml:space="preserve">血压昼夜节律、家庭记录合理波动范围（需检索指南原文）</t>
  </si>
  <si>
    <t xml:space="preserve">漏记对医生判断影响的解释口径</t>
  </si>
  <si>
    <r>
      <rPr>
        <sz val="11"/>
        <color theme="1"/>
        <rFont val="Arial Unicode MS"/>
        <family val="2"/>
      </rPr>
      <t xml:space="preserve">如实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完整记录要求的直接依据</t>
    </r>
  </si>
  <si>
    <t xml:space="preserve">手抖老人测量的替代做法</t>
  </si>
  <si>
    <t xml:space="preserve">症状与读数不一致的就医引导表述（须医生复核）</t>
  </si>
  <si>
    <t xml:space="preserve">暂缓，检索依据后送医生复核</t>
  </si>
  <si>
    <t xml:space="preserve">旅行期间测量建议</t>
  </si>
  <si>
    <t xml:space="preserve">多人共用设备的卫生与管理建议</t>
  </si>
  <si>
    <t xml:space="preserve">儿童袖带规格与儿童血压测量要求（儿科范畴）</t>
  </si>
  <si>
    <t xml:space="preserve">复诊时机与记录整理展示方式</t>
  </si>
  <si>
    <r>
      <rPr>
        <sz val="11"/>
        <color theme="1"/>
        <rFont val="Arial Unicode MS"/>
        <family val="2"/>
      </rPr>
      <t xml:space="preserve">漏服降压药的处理原则（因药物而异，须医生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药师确认）</t>
    </r>
  </si>
  <si>
    <t xml:space="preserve">线上问诊展示记录的具体做法</t>
  </si>
  <si>
    <t xml:space="preserve">降压目标个体化的指南依据</t>
  </si>
  <si>
    <r>
      <rPr>
        <sz val="11"/>
        <color theme="1"/>
        <rFont val="Arial Unicode MS"/>
        <family val="2"/>
      </rPr>
      <t xml:space="preserve">本表对应选题库“证据状态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Arial Unicode MS"/>
        <family val="2"/>
      </rPr>
      <t xml:space="preserve">待核验”的行。核验通过后：①在选题库补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Arial Unicode MS"/>
        <family val="2"/>
      </rPr>
      <t xml:space="preserve">编号与支持范围、证据状态改“已核对”、证据充分按规则重评；②从本表移除。医学表述不得凭空补写；医学结论缺依据时保持待核验或放弃，不以内容标签替代依据。</t>
    </r>
  </si>
  <si>
    <t xml:space="preserve">项目说明</t>
  </si>
  <si>
    <t xml:space="preserve">版本</t>
  </si>
  <si>
    <r>
      <rPr>
        <sz val="11"/>
        <color theme="1"/>
        <rFont val="Calibri"/>
        <family val="2"/>
        <charset val="1"/>
      </rPr>
      <t xml:space="preserve">v4</t>
    </r>
    <r>
      <rPr>
        <sz val="11"/>
        <color theme="1"/>
        <rFont val="Arial Unicode MS"/>
        <family val="2"/>
      </rPr>
      <t xml:space="preserve">（删去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标注内容角度中超出事实卡的扩展：行走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家务等待示例、袖带尺寸测量方法、摆放技巧；新增“扩展内容口径”条目；配套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Arial Unicode MS"/>
        <family val="2"/>
      </rPr>
      <t xml:space="preserve">选题看板）。</t>
    </r>
  </si>
  <si>
    <t xml:space="preserve">数据来源</t>
  </si>
  <si>
    <r>
      <rPr>
        <sz val="11"/>
        <color theme="1"/>
        <rFont val="Arial Unicode MS"/>
        <family val="2"/>
      </rPr>
      <t xml:space="preserve">①资料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患者问题</t>
    </r>
    <r>
      <rPr>
        <sz val="11"/>
        <color theme="1"/>
        <rFont val="Calibri"/>
        <family val="2"/>
        <charset val="1"/>
      </rPr>
      <t xml:space="preserve">.csv</t>
    </r>
    <r>
      <rPr>
        <sz val="11"/>
        <color theme="1"/>
        <rFont val="Arial Unicode M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Arial Unicode MS"/>
        <family val="2"/>
      </rPr>
      <t xml:space="preserve">条合成患者问题（不对应真实患者，频次为模拟频次，合计</t>
    </r>
    <r>
      <rPr>
        <sz val="11"/>
        <color theme="1"/>
        <rFont val="Calibri"/>
        <family val="2"/>
        <charset val="1"/>
      </rPr>
      <t xml:space="preserve">353</t>
    </r>
    <r>
      <rPr>
        <sz val="11"/>
        <color theme="1"/>
        <rFont val="Arial Unicode MS"/>
        <family val="2"/>
      </rPr>
      <t xml:space="preserve">）；②资料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账号定位资料</t>
    </r>
    <r>
      <rPr>
        <sz val="11"/>
        <color theme="1"/>
        <rFont val="Calibri"/>
        <family val="2"/>
        <charset val="1"/>
      </rPr>
      <t xml:space="preserve">.txt</t>
    </r>
    <r>
      <rPr>
        <sz val="11"/>
        <color theme="1"/>
        <rFont val="Arial Unicode MS"/>
        <family val="2"/>
      </rPr>
      <t xml:space="preserve">：社区心内科医生人设，受众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Arial Unicode MS"/>
        <family val="2"/>
      </rPr>
      <t xml:space="preserve">岁以上患者及照护者，每周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Arial Unicode MS"/>
        <family val="2"/>
      </rPr>
      <t xml:space="preserve">小时；③资料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家庭血压事实卡</t>
    </r>
    <r>
      <rPr>
        <sz val="11"/>
        <color theme="1"/>
        <rFont val="Calibri"/>
        <family val="2"/>
        <charset val="1"/>
      </rPr>
      <t xml:space="preserve">.csv</t>
    </r>
    <r>
      <rPr>
        <sz val="11"/>
        <color theme="1"/>
        <rFont val="Arial Unicode M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F01–F10</t>
    </r>
    <r>
      <rPr>
        <sz val="11"/>
        <color theme="1"/>
        <rFont val="Arial Unicode MS"/>
        <family val="2"/>
      </rPr>
      <t xml:space="preserve">，状态“来源核对、医生未签署”。</t>
    </r>
  </si>
  <si>
    <t xml:space="preserve">合并规则</t>
  </si>
  <si>
    <r>
      <rPr>
        <sz val="11"/>
        <color theme="1"/>
        <rFont val="Arial Unicode MS"/>
        <family val="2"/>
      </rPr>
      <t xml:space="preserve">仅</t>
    </r>
    <r>
      <rPr>
        <sz val="11"/>
        <color theme="1"/>
        <rFont val="Calibri"/>
        <family val="2"/>
        <charset val="1"/>
      </rPr>
      <t xml:space="preserve">Q04</t>
    </r>
    <r>
      <rPr>
        <sz val="11"/>
        <color theme="1"/>
        <rFont val="Arial Unicode MS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Q35</t>
    </r>
    <r>
      <rPr>
        <sz val="11"/>
        <color theme="1"/>
        <rFont val="Arial Unicode MS"/>
        <family val="2"/>
      </rPr>
      <t xml:space="preserve">合并（同为衣物与袖带接触问题）。“坐多久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能聊天”“跷腿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无靠背”“第一次高值重测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两次间隔”“运动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咖啡”等仅相关不算同义，均独立成题。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Arial Unicode MS"/>
        <family val="2"/>
      </rPr>
      <t xml:space="preserve">个选题覆盖全部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Arial Unicode MS"/>
        <family val="2"/>
      </rPr>
      <t xml:space="preserve">条来源各一次，频次合计</t>
    </r>
    <r>
      <rPr>
        <sz val="11"/>
        <color theme="1"/>
        <rFont val="Calibri"/>
        <family val="2"/>
        <charset val="1"/>
      </rPr>
      <t xml:space="preserve">353</t>
    </r>
    <r>
      <rPr>
        <sz val="11"/>
        <color theme="1"/>
        <rFont val="Arial Unicode MS"/>
        <family val="2"/>
      </rPr>
      <t xml:space="preserve">与原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Arial Unicode MS"/>
        <family val="2"/>
      </rPr>
      <t xml:space="preserve">一致（脚本内已断言校验）。</t>
    </r>
  </si>
  <si>
    <t xml:space="preserve">分类体系</t>
  </si>
  <si>
    <r>
      <rPr>
        <sz val="11"/>
        <color theme="1"/>
        <rFont val="Arial Unicode MS"/>
        <family val="2"/>
      </rPr>
      <t xml:space="preserve">家庭测量</t>
    </r>
    <r>
      <rPr>
        <sz val="11"/>
        <color theme="1"/>
        <rFont val="Calibri"/>
        <family val="2"/>
        <charset val="1"/>
      </rPr>
      <t xml:space="preserve">19 / </t>
    </r>
    <r>
      <rPr>
        <sz val="11"/>
        <color theme="1"/>
        <rFont val="Arial Unicode MS"/>
        <family val="2"/>
      </rPr>
      <t xml:space="preserve">记录随访</t>
    </r>
    <r>
      <rPr>
        <sz val="11"/>
        <color theme="1"/>
        <rFont val="Calibri"/>
        <family val="2"/>
        <charset val="1"/>
      </rPr>
      <t xml:space="preserve">5 / </t>
    </r>
    <r>
      <rPr>
        <sz val="11"/>
        <color theme="1"/>
        <rFont val="Arial Unicode MS"/>
        <family val="2"/>
      </rPr>
      <t xml:space="preserve">特殊情况</t>
    </r>
    <r>
      <rPr>
        <sz val="11"/>
        <color theme="1"/>
        <rFont val="Calibri"/>
        <family val="2"/>
        <charset val="1"/>
      </rPr>
      <t xml:space="preserve">6 / </t>
    </r>
    <r>
      <rPr>
        <sz val="11"/>
        <color theme="1"/>
        <rFont val="Arial Unicode MS"/>
        <family val="2"/>
      </rPr>
      <t xml:space="preserve">就医沟通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。</t>
    </r>
  </si>
  <si>
    <r>
      <rPr>
        <b val="true"/>
        <sz val="11"/>
        <rFont val="Arial Unicode MS"/>
        <family val="2"/>
      </rPr>
      <t xml:space="preserve">需求</t>
    </r>
    <r>
      <rPr>
        <b val="true"/>
        <sz val="11"/>
        <rFont val="Cambria"/>
        <family val="0"/>
        <charset val="1"/>
      </rPr>
      <t xml:space="preserve">(0-2)</t>
    </r>
    <r>
      <rPr>
        <b val="true"/>
        <sz val="11"/>
        <rFont val="Arial Unicode MS"/>
        <family val="2"/>
      </rPr>
      <t xml:space="preserve">阈值</t>
    </r>
  </si>
  <si>
    <r>
      <rPr>
        <sz val="11"/>
        <color theme="1"/>
        <rFont val="Arial Unicode MS"/>
        <family val="2"/>
      </rPr>
      <t xml:space="preserve">按合计频次：≥</t>
    </r>
    <r>
      <rPr>
        <sz val="11"/>
        <color theme="1"/>
        <rFont val="Calibri"/>
        <family val="2"/>
        <charset val="1"/>
      </rPr>
      <t xml:space="preserve">18→2</t>
    </r>
    <r>
      <rPr>
        <sz val="11"/>
        <color theme="1"/>
        <rFont val="Arial Unicode MS"/>
        <family val="2"/>
      </rPr>
      <t xml:space="preserve">分；</t>
    </r>
    <r>
      <rPr>
        <sz val="11"/>
        <color theme="1"/>
        <rFont val="Calibri"/>
        <family val="2"/>
        <charset val="1"/>
      </rPr>
      <t xml:space="preserve">8~17→1</t>
    </r>
    <r>
      <rPr>
        <sz val="11"/>
        <color theme="1"/>
        <rFont val="Arial Unicode MS"/>
        <family val="2"/>
      </rPr>
      <t xml:space="preserve">分；≤</t>
    </r>
    <r>
      <rPr>
        <sz val="11"/>
        <color theme="1"/>
        <rFont val="Calibri"/>
        <family val="2"/>
        <charset val="1"/>
      </rPr>
      <t xml:space="preserve">7→0</t>
    </r>
    <r>
      <rPr>
        <sz val="11"/>
        <color theme="1"/>
        <rFont val="Arial Unicode MS"/>
        <family val="2"/>
      </rPr>
      <t xml:space="preserve">分。</t>
    </r>
  </si>
  <si>
    <r>
      <rPr>
        <b val="true"/>
        <sz val="11"/>
        <rFont val="Arial Unicode MS"/>
        <family val="2"/>
      </rPr>
      <t xml:space="preserve">专业匹配</t>
    </r>
    <r>
      <rPr>
        <b val="true"/>
        <sz val="11"/>
        <rFont val="Cambria"/>
        <family val="0"/>
        <charset val="1"/>
      </rPr>
      <t xml:space="preserve">(0-1)</t>
    </r>
  </si>
  <si>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Arial Unicode MS"/>
        <family val="2"/>
      </rPr>
      <t xml:space="preserve">契合“</t>
    </r>
    <r>
      <rPr>
        <sz val="11"/>
        <color theme="1"/>
        <rFont val="Calibri"/>
        <family val="2"/>
        <charset val="1"/>
      </rPr>
      <t xml:space="preserve">60+</t>
    </r>
    <r>
      <rPr>
        <sz val="11"/>
        <color theme="1"/>
        <rFont val="Arial Unicode MS"/>
        <family val="2"/>
      </rPr>
      <t xml:space="preserve">患者及照护者、家庭监测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随访沟通”定位；</t>
    </r>
    <r>
      <rPr>
        <sz val="11"/>
        <color theme="1"/>
        <rFont val="Calibri"/>
        <family val="2"/>
        <charset val="1"/>
      </rPr>
      <t xml:space="preserve">0=</t>
    </r>
    <r>
      <rPr>
        <sz val="11"/>
        <color theme="1"/>
        <rFont val="Arial Unicode MS"/>
        <family val="2"/>
      </rPr>
      <t xml:space="preserve">超出定位（孕产、儿童）。</t>
    </r>
  </si>
  <si>
    <r>
      <rPr>
        <b val="true"/>
        <sz val="11"/>
        <rFont val="Arial Unicode MS"/>
        <family val="2"/>
      </rPr>
      <t xml:space="preserve">证据充分</t>
    </r>
    <r>
      <rPr>
        <b val="true"/>
        <sz val="11"/>
        <rFont val="Cambria"/>
        <family val="0"/>
        <charset val="1"/>
      </rPr>
      <t xml:space="preserve">(0-1)</t>
    </r>
    <r>
      <rPr>
        <b val="true"/>
        <sz val="11"/>
        <rFont val="Arial Unicode MS"/>
        <family val="2"/>
      </rPr>
      <t xml:space="preserve">规则</t>
    </r>
  </si>
  <si>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Arial Unicode MS"/>
        <family val="2"/>
      </rPr>
      <t xml:space="preserve">事实卡</t>
    </r>
    <r>
      <rPr>
        <sz val="11"/>
        <color theme="1"/>
        <rFont val="Calibri"/>
        <family val="2"/>
        <charset val="1"/>
      </rPr>
      <t xml:space="preserve">F01–F10</t>
    </r>
    <r>
      <rPr>
        <sz val="11"/>
        <color theme="1"/>
        <rFont val="Arial Unicode MS"/>
        <family val="2"/>
      </rPr>
      <t xml:space="preserve">有直接且足够支持，须在“支持事实卡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支持范围”列写明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Arial Unicode MS"/>
        <family val="2"/>
      </rPr>
      <t xml:space="preserve">编号与卡内原文范围；</t>
    </r>
    <r>
      <rPr>
        <sz val="11"/>
        <color theme="1"/>
        <rFont val="Calibri"/>
        <family val="2"/>
        <charset val="1"/>
      </rPr>
      <t xml:space="preserve">0=</t>
    </r>
    <r>
      <rPr>
        <sz val="11"/>
        <color theme="1"/>
        <rFont val="Arial Unicode MS"/>
        <family val="2"/>
      </rPr>
      <t xml:space="preserve">卡内未覆盖或仅部分相关（支持事实卡列注明“部分”），同时列入待核验清单。医学建议不得凭空补写。</t>
    </r>
  </si>
  <si>
    <r>
      <rPr>
        <b val="true"/>
        <sz val="11"/>
        <rFont val="Arial Unicode MS"/>
        <family val="2"/>
      </rPr>
      <t xml:space="preserve">重要性</t>
    </r>
    <r>
      <rPr>
        <b val="true"/>
        <sz val="11"/>
        <rFont val="Cambria"/>
        <family val="0"/>
        <charset val="1"/>
      </rPr>
      <t xml:space="preserve">(0-1)</t>
    </r>
  </si>
  <si>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Arial Unicode MS"/>
        <family val="2"/>
      </rPr>
      <t xml:space="preserve">对健康决策或安全影响大；</t>
    </r>
    <r>
      <rPr>
        <sz val="11"/>
        <color theme="1"/>
        <rFont val="Calibri"/>
        <family val="2"/>
        <charset val="1"/>
      </rPr>
      <t xml:space="preserve">0=</t>
    </r>
    <r>
      <rPr>
        <sz val="11"/>
        <color theme="1"/>
        <rFont val="Arial Unicode MS"/>
        <family val="2"/>
      </rPr>
      <t xml:space="preserve">一般实用信息。</t>
    </r>
  </si>
  <si>
    <r>
      <rPr>
        <b val="true"/>
        <sz val="11"/>
        <rFont val="Arial Unicode MS"/>
        <family val="2"/>
      </rPr>
      <t xml:space="preserve">风险扣分</t>
    </r>
    <r>
      <rPr>
        <b val="true"/>
        <sz val="11"/>
        <rFont val="Cambria"/>
        <family val="0"/>
        <charset val="1"/>
      </rPr>
      <t xml:space="preserve">(0-1)</t>
    </r>
  </si>
  <si>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Arial Unicode MS"/>
        <family val="2"/>
      </rPr>
      <t xml:space="preserve">涉个体化用药、孕产、儿童、症状判断，同时自动列入专业复核清单。</t>
    </r>
  </si>
  <si>
    <t xml:space="preserve">总分（公式）</t>
  </si>
  <si>
    <r>
      <rPr>
        <sz val="11"/>
        <color theme="1"/>
        <rFont val="Arial Unicode MS"/>
        <family val="2"/>
      </rPr>
      <t xml:space="preserve">总分 </t>
    </r>
    <r>
      <rPr>
        <sz val="11"/>
        <color theme="1"/>
        <rFont val="Calibri"/>
        <family val="2"/>
        <charset val="1"/>
      </rPr>
      <t xml:space="preserve">= MAX(0, MIN(5, </t>
    </r>
    <r>
      <rPr>
        <sz val="11"/>
        <color theme="1"/>
        <rFont val="Arial Unicode MS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Arial Unicode MS"/>
        <family val="2"/>
      </rPr>
      <t xml:space="preserve">专业匹配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Arial Unicode MS"/>
        <family val="2"/>
      </rPr>
      <t xml:space="preserve">证据充分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Arial Unicode MS"/>
        <family val="2"/>
      </rPr>
      <t xml:space="preserve">重要性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Arial Unicode MS"/>
        <family val="2"/>
      </rPr>
      <t xml:space="preserve">风险扣分</t>
    </r>
    <r>
      <rPr>
        <sz val="11"/>
        <color theme="1"/>
        <rFont val="Calibri"/>
        <family val="2"/>
        <charset val="1"/>
      </rPr>
      <t xml:space="preserve">))</t>
    </r>
    <r>
      <rPr>
        <sz val="11"/>
        <color theme="1"/>
        <rFont val="Arial Unicode MS"/>
        <family val="2"/>
      </rPr>
      <t xml:space="preserve">，写入选题库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Arial Unicode MS"/>
        <family val="2"/>
      </rPr>
      <t xml:space="preserve">列并保留底层数字（</t>
    </r>
    <r>
      <rPr>
        <sz val="11"/>
        <color theme="1"/>
        <rFont val="Calibri"/>
        <family val="2"/>
        <charset val="1"/>
      </rPr>
      <t xml:space="preserve">M~Q</t>
    </r>
    <r>
      <rPr>
        <sz val="11"/>
        <color theme="1"/>
        <rFont val="Arial Unicode MS"/>
        <family val="2"/>
      </rPr>
      <t xml:space="preserve">列），</t>
    </r>
    <r>
      <rPr>
        <sz val="11"/>
        <color theme="1"/>
        <rFont val="Calibri"/>
        <family val="2"/>
        <charset val="1"/>
      </rPr>
      <t xml:space="preserve">0~5</t>
    </r>
    <r>
      <rPr>
        <sz val="11"/>
        <color theme="1"/>
        <rFont val="Arial Unicode MS"/>
        <family val="2"/>
      </rPr>
      <t xml:space="preserve">分，红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Arial Unicode MS"/>
        <family val="2"/>
      </rPr>
      <t xml:space="preserve">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Arial Unicode MS"/>
        <family val="2"/>
      </rPr>
      <t xml:space="preserve">绿色阶。</t>
    </r>
  </si>
  <si>
    <r>
      <rPr>
        <sz val="11"/>
        <color theme="1"/>
        <rFont val="Arial Unicode MS"/>
        <family val="2"/>
      </rPr>
      <t xml:space="preserve">已核对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Arial Unicode MS"/>
        <family val="2"/>
      </rPr>
      <t xml:space="preserve">内容可依据</t>
    </r>
    <r>
      <rPr>
        <sz val="11"/>
        <color theme="1"/>
        <rFont val="Calibri"/>
        <family val="2"/>
        <charset val="1"/>
      </rPr>
      <t xml:space="preserve">F01–F10</t>
    </r>
    <r>
      <rPr>
        <sz val="11"/>
        <color theme="1"/>
        <rFont val="Arial Unicode MS"/>
        <family val="2"/>
      </rPr>
      <t xml:space="preserve">撰写；待核验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Arial Unicode MS"/>
        <family val="2"/>
      </rPr>
      <t xml:space="preserve">须先检索依据（见“待核验清单”），核验前状态统一为“暂缓”、不得制作发布；医学结论缺依据时保持待核验，不以内容标签替代依据。</t>
    </r>
  </si>
  <si>
    <t xml:space="preserve">重要口径更正</t>
  </si>
  <si>
    <r>
      <rPr>
        <sz val="11"/>
        <color theme="1"/>
        <rFont val="Arial Unicode MS"/>
        <family val="2"/>
      </rPr>
      <t xml:space="preserve">“两次取平均”并非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所写。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Arial Unicode MS"/>
        <family val="2"/>
      </rPr>
      <t xml:space="preserve">原文为“每次测量取两次读数，间隔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分钟，并记录结果”，现有依据只支持两次读数、间隔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分钟并记录；如何取值待核验，相关选题内容不得出现“取平均”。</t>
    </r>
  </si>
  <si>
    <t xml:space="preserve">扩展内容口径</t>
  </si>
  <si>
    <r>
      <rPr>
        <sz val="11"/>
        <color theme="1"/>
        <rFont val="Arial Unicode MS"/>
        <family val="2"/>
      </rPr>
      <t xml:space="preserve">支持事实卡列仅覆盖选题的核心口径。内容角度中超出卡内范围的扩展（如运动后行走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Arial Unicode MS"/>
        <family val="2"/>
      </rPr>
      <t xml:space="preserve">家务等待示例、袖带尺寸测量方法、摆放技巧等）一律删去或注明“需补充依据后再写”；不因选题已挂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Arial Unicode MS"/>
        <family val="2"/>
      </rPr>
      <t xml:space="preserve">编号而视为扩展部分已核对。</t>
    </r>
  </si>
  <si>
    <t xml:space="preserve">状态枚举</t>
  </si>
  <si>
    <r>
      <rPr>
        <sz val="11"/>
        <color theme="1"/>
        <rFont val="Arial Unicode MS"/>
        <family val="2"/>
      </rPr>
      <t xml:space="preserve">未开始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Arial Unicode MS"/>
        <family val="2"/>
      </rPr>
      <t xml:space="preserve">资料收集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Arial Unicode MS"/>
        <family val="2"/>
      </rPr>
      <t xml:space="preserve">脚本撰写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Arial Unicode MS"/>
        <family val="2"/>
      </rPr>
      <t xml:space="preserve">已发布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Arial Unicode MS"/>
        <family val="2"/>
      </rPr>
      <t xml:space="preserve">暂缓（选题库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Arial Unicode MS"/>
        <family val="2"/>
      </rPr>
      <t xml:space="preserve">列、首月清单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Arial Unicode MS"/>
        <family val="2"/>
      </rPr>
      <t xml:space="preserve">列带下拉）。</t>
    </r>
  </si>
  <si>
    <t xml:space="preserve">使用方式</t>
  </si>
  <si>
    <r>
      <rPr>
        <sz val="11"/>
        <color theme="1"/>
        <rFont val="Arial Unicode MS"/>
        <family val="2"/>
      </rPr>
      <t xml:space="preserve">选题库已开启筛选、冻结前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Arial Unicode MS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Arial Unicode MS"/>
        <family val="2"/>
      </rPr>
      <t xml:space="preserve">列总分与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Arial Unicode MS"/>
        <family val="2"/>
      </rPr>
      <t xml:space="preserve">列频次为色阶；“待核验”证据状态黄底、“需专业复核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Arial Unicode MS"/>
        <family val="2"/>
      </rPr>
      <t xml:space="preserve">是”黄底红字。核验通过后更新</t>
    </r>
    <r>
      <rPr>
        <sz val="11"/>
        <color theme="1"/>
        <rFont val="Calibri"/>
        <family val="2"/>
        <charset val="1"/>
      </rPr>
      <t xml:space="preserve">L/O</t>
    </r>
    <r>
      <rPr>
        <sz val="11"/>
        <color theme="1"/>
        <rFont val="Arial Unicode MS"/>
        <family val="2"/>
      </rPr>
      <t xml:space="preserve">列与评分，评分理由随之修订。</t>
    </r>
  </si>
  <si>
    <t xml:space="preserve">合规提醒</t>
  </si>
  <si>
    <r>
      <rPr>
        <sz val="11"/>
        <color theme="1"/>
        <rFont val="Arial Unicode MS"/>
        <family val="2"/>
      </rPr>
      <t xml:space="preserve">事实卡医生未签署；所有“已核对”内容发布前仍需按账号规范完成医生签署流程；专业复核清单共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项（以实际数据行为准，不含表尾说明行），必须医生复核后才能发布。</t>
    </r>
  </si>
  <si>
    <t xml:space="preserve">实时统计</t>
  </si>
  <si>
    <t xml:space="preserve">选题总数</t>
  </si>
  <si>
    <t xml:space="preserve">已核对选题数</t>
  </si>
  <si>
    <t xml:space="preserve">待核验选题数</t>
  </si>
  <si>
    <t xml:space="preserve">需专业复核数</t>
  </si>
  <si>
    <t xml:space="preserve">选题库合计频次</t>
  </si>
  <si>
    <t xml:space="preserve">平均总分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</si>
</sst>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 Unicode MS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Arial Unicode MS"/>
      <family val="2"/>
    </font>
    <font>
      <b val="true"/>
      <sz val="14"/>
      <name val="Arial Unicode MS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ont>
        <b val="1"/>
        <color rgb="FF9C0006"/>
      </font>
      <fill>
        <patternFill>
          <bgColor rgb="FFFFEB9C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10.01"/>
    <col collapsed="false" customWidth="true" hidden="false" outlineLevel="0" max="3" min="3" style="0" width="21.84"/>
    <col collapsed="false" customWidth="true" hidden="false" outlineLevel="0" max="4" min="4" style="0" width="29.11"/>
    <col collapsed="false" customWidth="true" hidden="false" outlineLevel="0" max="5" min="5" style="0" width="10.01"/>
    <col collapsed="false" customWidth="true" hidden="false" outlineLevel="0" max="6" min="6" style="0" width="8.19"/>
    <col collapsed="false" customWidth="true" hidden="false" outlineLevel="0" max="7" min="7" style="0" width="13.65"/>
    <col collapsed="false" customWidth="true" hidden="false" outlineLevel="0" max="8" min="8" style="0" width="23.66"/>
    <col collapsed="false" customWidth="true" hidden="false" outlineLevel="0" max="9" min="9" style="0" width="36.39"/>
    <col collapsed="false" customWidth="true" hidden="false" outlineLevel="0" max="10" min="10" style="0" width="11.83"/>
    <col collapsed="false" customWidth="true" hidden="false" outlineLevel="0" max="11" min="11" style="0" width="32.76"/>
    <col collapsed="false" customWidth="true" hidden="false" outlineLevel="0" max="12" min="12" style="0" width="9.1"/>
    <col collapsed="false" customWidth="true" hidden="false" outlineLevel="0" max="13" min="13" style="0" width="8.19"/>
    <col collapsed="false" customWidth="true" hidden="false" outlineLevel="0" max="15" min="14" style="0" width="9.1"/>
    <col collapsed="false" customWidth="true" hidden="false" outlineLevel="0" max="16" min="16" style="0" width="8.19"/>
    <col collapsed="false" customWidth="true" hidden="false" outlineLevel="0" max="17" min="17" style="0" width="9.1"/>
    <col collapsed="false" customWidth="true" hidden="false" outlineLevel="0" max="18" min="18" style="0" width="7.28"/>
    <col collapsed="false" customWidth="true" hidden="false" outlineLevel="0" max="19" min="19" style="0" width="27.3"/>
    <col collapsed="false" customWidth="true" hidden="false" outlineLevel="0" max="20" min="20" style="0" width="9.1"/>
    <col collapsed="false" customWidth="true" hidden="false" outlineLevel="0" max="21" min="21" style="0" width="10.0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45.75" hidden="false" customHeight="true" outlineLevel="0" collapsed="false">
      <c r="A2" s="2" t="n">
        <v>1</v>
      </c>
      <c r="B2" s="3" t="s">
        <v>21</v>
      </c>
      <c r="C2" s="3" t="s">
        <v>22</v>
      </c>
      <c r="D2" s="3" t="s">
        <v>23</v>
      </c>
      <c r="E2" s="2" t="s">
        <v>24</v>
      </c>
      <c r="F2" s="4" t="n">
        <v>8</v>
      </c>
      <c r="G2" s="3" t="s">
        <v>25</v>
      </c>
      <c r="H2" s="3" t="s">
        <v>26</v>
      </c>
      <c r="I2" s="3" t="s">
        <v>27</v>
      </c>
      <c r="J2" s="5" t="s">
        <v>28</v>
      </c>
      <c r="K2" s="3" t="s">
        <v>29</v>
      </c>
      <c r="L2" s="6" t="s">
        <v>30</v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0</v>
      </c>
      <c r="R2" s="4" t="n">
        <f aca="false">MAX(0,MIN(5,SUM(M2:P2)-Q2))</f>
        <v>4</v>
      </c>
      <c r="S2" s="3" t="s">
        <v>31</v>
      </c>
      <c r="T2" s="6" t="s">
        <v>32</v>
      </c>
      <c r="U2" s="6" t="s">
        <v>33</v>
      </c>
    </row>
    <row r="3" customFormat="false" ht="65.0" hidden="false" customHeight="true" outlineLevel="0" collapsed="false">
      <c r="A3" s="2" t="n">
        <v>2</v>
      </c>
      <c r="B3" s="3" t="s">
        <v>21</v>
      </c>
      <c r="C3" s="3" t="s">
        <v>34</v>
      </c>
      <c r="D3" s="3" t="s">
        <v>35</v>
      </c>
      <c r="E3" s="2" t="s">
        <v>36</v>
      </c>
      <c r="F3" s="4" t="n">
        <v>18</v>
      </c>
      <c r="G3" s="3" t="s">
        <v>37</v>
      </c>
      <c r="H3" s="3" t="s">
        <v>38</v>
      </c>
      <c r="I3" s="3" t="s">
        <v>39</v>
      </c>
      <c r="J3" s="5" t="s">
        <v>40</v>
      </c>
      <c r="K3" s="3" t="s">
        <v>41</v>
      </c>
      <c r="L3" s="6" t="s">
        <v>30</v>
      </c>
      <c r="M3" s="4" t="n">
        <v>2</v>
      </c>
      <c r="N3" s="4" t="n">
        <v>1</v>
      </c>
      <c r="O3" s="4" t="n">
        <v>1</v>
      </c>
      <c r="P3" s="4" t="n">
        <v>0</v>
      </c>
      <c r="Q3" s="4" t="n">
        <v>0</v>
      </c>
      <c r="R3" s="4" t="n">
        <f aca="false">MAX(0,MIN(5,SUM(M3:P3)-Q3))</f>
        <v>4</v>
      </c>
      <c r="S3" s="3" t="s">
        <v>42</v>
      </c>
      <c r="T3" s="6" t="s">
        <v>32</v>
      </c>
      <c r="U3" s="6" t="s">
        <v>33</v>
      </c>
    </row>
    <row r="4" customFormat="false" ht="45.75" hidden="false" customHeight="true" outlineLevel="0" collapsed="false">
      <c r="A4" s="2" t="n">
        <v>3</v>
      </c>
      <c r="B4" s="3" t="s">
        <v>21</v>
      </c>
      <c r="C4" s="3" t="s">
        <v>43</v>
      </c>
      <c r="D4" s="3" t="s">
        <v>44</v>
      </c>
      <c r="E4" s="2" t="s">
        <v>45</v>
      </c>
      <c r="F4" s="4" t="n">
        <v>2</v>
      </c>
      <c r="G4" s="3" t="s">
        <v>37</v>
      </c>
      <c r="H4" s="3" t="s">
        <v>46</v>
      </c>
      <c r="I4" s="3" t="s">
        <v>47</v>
      </c>
      <c r="J4" s="5" t="s">
        <v>40</v>
      </c>
      <c r="K4" s="3" t="s">
        <v>41</v>
      </c>
      <c r="L4" s="6" t="s">
        <v>30</v>
      </c>
      <c r="M4" s="4" t="n">
        <v>0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f aca="false">MAX(0,MIN(5,SUM(M4:P4)-Q4))</f>
        <v>2</v>
      </c>
      <c r="S4" s="3" t="s">
        <v>48</v>
      </c>
      <c r="T4" s="6" t="s">
        <v>32</v>
      </c>
      <c r="U4" s="6" t="s">
        <v>33</v>
      </c>
    </row>
    <row r="5" customFormat="false" ht="65.0" hidden="false" customHeight="true" outlineLevel="0" collapsed="false">
      <c r="A5" s="2" t="n">
        <v>4</v>
      </c>
      <c r="B5" s="3" t="s">
        <v>21</v>
      </c>
      <c r="C5" s="3" t="s">
        <v>49</v>
      </c>
      <c r="D5" s="3" t="s">
        <v>50</v>
      </c>
      <c r="E5" s="2" t="s">
        <v>51</v>
      </c>
      <c r="F5" s="4" t="n">
        <v>20</v>
      </c>
      <c r="G5" s="3" t="s">
        <v>25</v>
      </c>
      <c r="H5" s="3" t="s">
        <v>52</v>
      </c>
      <c r="I5" s="3" t="s">
        <v>53</v>
      </c>
      <c r="J5" s="5" t="s">
        <v>54</v>
      </c>
      <c r="K5" s="3" t="s">
        <v>55</v>
      </c>
      <c r="L5" s="6" t="s">
        <v>30</v>
      </c>
      <c r="M5" s="4" t="n">
        <v>2</v>
      </c>
      <c r="N5" s="4" t="n">
        <v>1</v>
      </c>
      <c r="O5" s="4" t="n">
        <v>1</v>
      </c>
      <c r="P5" s="4" t="n">
        <v>1</v>
      </c>
      <c r="Q5" s="4" t="n">
        <v>0</v>
      </c>
      <c r="R5" s="4" t="n">
        <f aca="false">MAX(0,MIN(5,SUM(M5:P5)-Q5))</f>
        <v>5</v>
      </c>
      <c r="S5" s="3" t="s">
        <v>56</v>
      </c>
      <c r="T5" s="6" t="s">
        <v>32</v>
      </c>
      <c r="U5" s="6" t="s">
        <v>33</v>
      </c>
    </row>
    <row r="6" customFormat="false" ht="45.75" hidden="false" customHeight="true" outlineLevel="0" collapsed="false">
      <c r="A6" s="2" t="n">
        <v>5</v>
      </c>
      <c r="B6" s="3" t="s">
        <v>21</v>
      </c>
      <c r="C6" s="3" t="s">
        <v>57</v>
      </c>
      <c r="D6" s="3" t="s">
        <v>58</v>
      </c>
      <c r="E6" s="2" t="s">
        <v>59</v>
      </c>
      <c r="F6" s="4" t="n">
        <v>4</v>
      </c>
      <c r="G6" s="3" t="s">
        <v>37</v>
      </c>
      <c r="H6" s="3" t="s">
        <v>60</v>
      </c>
      <c r="I6" s="3" t="s">
        <v>61</v>
      </c>
      <c r="J6" s="3" t="s">
        <v>62</v>
      </c>
      <c r="K6" s="3" t="s">
        <v>63</v>
      </c>
      <c r="L6" s="6" t="s">
        <v>64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f aca="false">MAX(0,MIN(5,SUM(M6:P6)-Q6))</f>
        <v>1</v>
      </c>
      <c r="S6" s="3" t="s">
        <v>65</v>
      </c>
      <c r="T6" s="6" t="s">
        <v>66</v>
      </c>
      <c r="U6" s="6" t="s">
        <v>33</v>
      </c>
    </row>
    <row r="7" customFormat="false" ht="45.75" hidden="false" customHeight="true" outlineLevel="0" collapsed="false">
      <c r="A7" s="2" t="n">
        <v>6</v>
      </c>
      <c r="B7" s="3" t="s">
        <v>21</v>
      </c>
      <c r="C7" s="3" t="s">
        <v>67</v>
      </c>
      <c r="D7" s="3" t="s">
        <v>68</v>
      </c>
      <c r="E7" s="2" t="s">
        <v>69</v>
      </c>
      <c r="F7" s="4" t="n">
        <v>15</v>
      </c>
      <c r="G7" s="3" t="s">
        <v>25</v>
      </c>
      <c r="H7" s="3" t="s">
        <v>70</v>
      </c>
      <c r="I7" s="3" t="s">
        <v>71</v>
      </c>
      <c r="J7" s="5" t="s">
        <v>72</v>
      </c>
      <c r="K7" s="3" t="s">
        <v>73</v>
      </c>
      <c r="L7" s="6" t="s">
        <v>30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0</v>
      </c>
      <c r="R7" s="4" t="n">
        <f aca="false">MAX(0,MIN(5,SUM(M7:P7)-Q7))</f>
        <v>4</v>
      </c>
      <c r="S7" s="3" t="s">
        <v>74</v>
      </c>
      <c r="T7" s="6" t="s">
        <v>32</v>
      </c>
      <c r="U7" s="6" t="s">
        <v>33</v>
      </c>
    </row>
    <row r="8" customFormat="false" ht="65.0" hidden="false" customHeight="true" outlineLevel="0" collapsed="false">
      <c r="A8" s="2" t="n">
        <v>7</v>
      </c>
      <c r="B8" s="3" t="s">
        <v>21</v>
      </c>
      <c r="C8" s="3" t="s">
        <v>75</v>
      </c>
      <c r="D8" s="3" t="s">
        <v>76</v>
      </c>
      <c r="E8" s="2" t="s">
        <v>77</v>
      </c>
      <c r="F8" s="4" t="n">
        <v>13</v>
      </c>
      <c r="G8" s="3" t="s">
        <v>25</v>
      </c>
      <c r="H8" s="3" t="s">
        <v>78</v>
      </c>
      <c r="I8" s="3" t="s">
        <v>79</v>
      </c>
      <c r="J8" s="5" t="s">
        <v>72</v>
      </c>
      <c r="K8" s="3" t="s">
        <v>80</v>
      </c>
      <c r="L8" s="6" t="s">
        <v>30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0</v>
      </c>
      <c r="R8" s="4" t="n">
        <f aca="false">MAX(0,MIN(5,SUM(M8:P8)-Q8))</f>
        <v>4</v>
      </c>
      <c r="S8" s="3" t="s">
        <v>81</v>
      </c>
      <c r="T8" s="6" t="s">
        <v>32</v>
      </c>
      <c r="U8" s="6" t="s">
        <v>33</v>
      </c>
    </row>
    <row r="9" customFormat="false" ht="65.0" hidden="false" customHeight="true" outlineLevel="0" collapsed="false">
      <c r="A9" s="2" t="n">
        <v>8</v>
      </c>
      <c r="B9" s="3" t="s">
        <v>21</v>
      </c>
      <c r="C9" s="3" t="s">
        <v>82</v>
      </c>
      <c r="D9" s="3" t="s">
        <v>83</v>
      </c>
      <c r="E9" s="2" t="s">
        <v>84</v>
      </c>
      <c r="F9" s="4" t="n">
        <v>14</v>
      </c>
      <c r="G9" s="3" t="s">
        <v>25</v>
      </c>
      <c r="H9" s="3" t="s">
        <v>85</v>
      </c>
      <c r="I9" s="3" t="s">
        <v>86</v>
      </c>
      <c r="J9" s="5" t="s">
        <v>87</v>
      </c>
      <c r="K9" s="3" t="s">
        <v>88</v>
      </c>
      <c r="L9" s="6" t="s">
        <v>30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0</v>
      </c>
      <c r="R9" s="4" t="n">
        <f aca="false">MAX(0,MIN(5,SUM(M9:P9)-Q9))</f>
        <v>4</v>
      </c>
      <c r="S9" s="3" t="s">
        <v>89</v>
      </c>
      <c r="T9" s="6" t="s">
        <v>32</v>
      </c>
      <c r="U9" s="6" t="s">
        <v>33</v>
      </c>
    </row>
    <row r="10" customFormat="false" ht="32.25" hidden="false" customHeight="true" outlineLevel="0" collapsed="false">
      <c r="A10" s="2" t="n">
        <v>9</v>
      </c>
      <c r="B10" s="3" t="s">
        <v>21</v>
      </c>
      <c r="C10" s="3" t="s">
        <v>90</v>
      </c>
      <c r="D10" s="3" t="s">
        <v>91</v>
      </c>
      <c r="E10" s="2" t="s">
        <v>92</v>
      </c>
      <c r="F10" s="4" t="n">
        <v>11</v>
      </c>
      <c r="G10" s="3" t="s">
        <v>25</v>
      </c>
      <c r="H10" s="3" t="s">
        <v>93</v>
      </c>
      <c r="I10" s="3" t="s">
        <v>94</v>
      </c>
      <c r="J10" s="5" t="s">
        <v>95</v>
      </c>
      <c r="K10" s="3" t="s">
        <v>96</v>
      </c>
      <c r="L10" s="6" t="s">
        <v>30</v>
      </c>
      <c r="M10" s="4" t="n">
        <v>1</v>
      </c>
      <c r="N10" s="4" t="n">
        <v>1</v>
      </c>
      <c r="O10" s="4" t="n">
        <v>1</v>
      </c>
      <c r="P10" s="4" t="n">
        <v>0</v>
      </c>
      <c r="Q10" s="4" t="n">
        <v>0</v>
      </c>
      <c r="R10" s="4" t="n">
        <f aca="false">MAX(0,MIN(5,SUM(M10:P10)-Q10))</f>
        <v>3</v>
      </c>
      <c r="S10" s="3" t="s">
        <v>97</v>
      </c>
      <c r="T10" s="6" t="s">
        <v>32</v>
      </c>
      <c r="U10" s="6" t="s">
        <v>33</v>
      </c>
    </row>
    <row r="11" customFormat="false" ht="65.0" hidden="false" customHeight="true" outlineLevel="0" collapsed="false">
      <c r="A11" s="2" t="n">
        <v>10</v>
      </c>
      <c r="B11" s="3" t="s">
        <v>21</v>
      </c>
      <c r="C11" s="3" t="s">
        <v>98</v>
      </c>
      <c r="D11" s="3" t="s">
        <v>99</v>
      </c>
      <c r="E11" s="2" t="s">
        <v>100</v>
      </c>
      <c r="F11" s="4" t="n">
        <v>16</v>
      </c>
      <c r="G11" s="3" t="s">
        <v>25</v>
      </c>
      <c r="H11" s="3" t="s">
        <v>101</v>
      </c>
      <c r="I11" s="3" t="s">
        <v>102</v>
      </c>
      <c r="J11" s="3" t="s">
        <v>62</v>
      </c>
      <c r="K11" s="5" t="s">
        <v>103</v>
      </c>
      <c r="L11" s="6" t="s">
        <v>64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f aca="false">MAX(0,MIN(5,SUM(M11:P11)-Q11))</f>
        <v>3</v>
      </c>
      <c r="S11" s="3" t="s">
        <v>104</v>
      </c>
      <c r="T11" s="6" t="s">
        <v>66</v>
      </c>
      <c r="U11" s="6" t="s">
        <v>33</v>
      </c>
    </row>
    <row r="12" customFormat="false" ht="32.25" hidden="false" customHeight="true" outlineLevel="0" collapsed="false">
      <c r="A12" s="2" t="n">
        <v>11</v>
      </c>
      <c r="B12" s="3" t="s">
        <v>21</v>
      </c>
      <c r="C12" s="3" t="s">
        <v>105</v>
      </c>
      <c r="D12" s="3" t="s">
        <v>106</v>
      </c>
      <c r="E12" s="2" t="s">
        <v>107</v>
      </c>
      <c r="F12" s="4" t="n">
        <v>2</v>
      </c>
      <c r="G12" s="3" t="s">
        <v>25</v>
      </c>
      <c r="H12" s="3" t="s">
        <v>108</v>
      </c>
      <c r="I12" s="3" t="s">
        <v>109</v>
      </c>
      <c r="J12" s="5" t="s">
        <v>110</v>
      </c>
      <c r="K12" s="3" t="s">
        <v>111</v>
      </c>
      <c r="L12" s="6" t="s">
        <v>30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f aca="false">MAX(0,MIN(5,SUM(M12:P12)-Q12))</f>
        <v>2</v>
      </c>
      <c r="S12" s="3" t="s">
        <v>112</v>
      </c>
      <c r="T12" s="6" t="s">
        <v>32</v>
      </c>
      <c r="U12" s="6" t="s">
        <v>33</v>
      </c>
    </row>
    <row r="13" customFormat="false" ht="65.0" hidden="false" customHeight="true" outlineLevel="0" collapsed="false">
      <c r="A13" s="2" t="n">
        <v>12</v>
      </c>
      <c r="B13" s="3" t="s">
        <v>21</v>
      </c>
      <c r="C13" s="3" t="s">
        <v>113</v>
      </c>
      <c r="D13" s="3" t="s">
        <v>114</v>
      </c>
      <c r="E13" s="2" t="s">
        <v>115</v>
      </c>
      <c r="F13" s="4" t="n">
        <v>16</v>
      </c>
      <c r="G13" s="3" t="s">
        <v>25</v>
      </c>
      <c r="H13" s="3" t="s">
        <v>116</v>
      </c>
      <c r="I13" s="3" t="s">
        <v>117</v>
      </c>
      <c r="J13" s="5" t="s">
        <v>118</v>
      </c>
      <c r="K13" s="3" t="s">
        <v>119</v>
      </c>
      <c r="L13" s="6" t="s">
        <v>30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0</v>
      </c>
      <c r="R13" s="4" t="n">
        <f aca="false">MAX(0,MIN(5,SUM(M13:P13)-Q13))</f>
        <v>4</v>
      </c>
      <c r="S13" s="3" t="s">
        <v>120</v>
      </c>
      <c r="T13" s="6" t="s">
        <v>32</v>
      </c>
      <c r="U13" s="6" t="s">
        <v>33</v>
      </c>
    </row>
    <row r="14" customFormat="false" ht="32.25" hidden="false" customHeight="true" outlineLevel="0" collapsed="false">
      <c r="A14" s="2" t="n">
        <v>13</v>
      </c>
      <c r="B14" s="3" t="s">
        <v>21</v>
      </c>
      <c r="C14" s="3" t="s">
        <v>121</v>
      </c>
      <c r="D14" s="3" t="s">
        <v>122</v>
      </c>
      <c r="E14" s="2" t="s">
        <v>123</v>
      </c>
      <c r="F14" s="4" t="n">
        <v>8</v>
      </c>
      <c r="G14" s="3" t="s">
        <v>25</v>
      </c>
      <c r="H14" s="3" t="s">
        <v>124</v>
      </c>
      <c r="I14" s="3" t="s">
        <v>125</v>
      </c>
      <c r="J14" s="3" t="s">
        <v>62</v>
      </c>
      <c r="K14" s="3" t="s">
        <v>126</v>
      </c>
      <c r="L14" s="6" t="s">
        <v>64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f aca="false">MAX(0,MIN(5,SUM(M14:P14)-Q14))</f>
        <v>2</v>
      </c>
      <c r="S14" s="3" t="s">
        <v>127</v>
      </c>
      <c r="T14" s="6" t="s">
        <v>66</v>
      </c>
      <c r="U14" s="6" t="s">
        <v>33</v>
      </c>
    </row>
    <row r="15" customFormat="false" ht="32.25" hidden="false" customHeight="true" outlineLevel="0" collapsed="false">
      <c r="A15" s="2" t="n">
        <v>14</v>
      </c>
      <c r="B15" s="3" t="s">
        <v>21</v>
      </c>
      <c r="C15" s="3" t="s">
        <v>128</v>
      </c>
      <c r="D15" s="3" t="s">
        <v>129</v>
      </c>
      <c r="E15" s="2" t="s">
        <v>130</v>
      </c>
      <c r="F15" s="4" t="n">
        <v>2</v>
      </c>
      <c r="G15" s="3" t="s">
        <v>25</v>
      </c>
      <c r="H15" s="3" t="s">
        <v>131</v>
      </c>
      <c r="I15" s="3" t="s">
        <v>132</v>
      </c>
      <c r="J15" s="3" t="s">
        <v>62</v>
      </c>
      <c r="K15" s="3" t="s">
        <v>133</v>
      </c>
      <c r="L15" s="6" t="s">
        <v>64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f aca="false">MAX(0,MIN(5,SUM(M15:P15)-Q15))</f>
        <v>1</v>
      </c>
      <c r="S15" s="3" t="s">
        <v>134</v>
      </c>
      <c r="T15" s="6" t="s">
        <v>66</v>
      </c>
      <c r="U15" s="6" t="s">
        <v>33</v>
      </c>
    </row>
    <row r="16" customFormat="false" ht="32.25" hidden="false" customHeight="true" outlineLevel="0" collapsed="false">
      <c r="A16" s="2" t="n">
        <v>15</v>
      </c>
      <c r="B16" s="3" t="s">
        <v>21</v>
      </c>
      <c r="C16" s="3" t="s">
        <v>135</v>
      </c>
      <c r="D16" s="3" t="s">
        <v>136</v>
      </c>
      <c r="E16" s="2" t="s">
        <v>137</v>
      </c>
      <c r="F16" s="4" t="n">
        <v>6</v>
      </c>
      <c r="G16" s="3" t="s">
        <v>37</v>
      </c>
      <c r="H16" s="3" t="s">
        <v>138</v>
      </c>
      <c r="I16" s="3" t="s">
        <v>139</v>
      </c>
      <c r="J16" s="5" t="s">
        <v>28</v>
      </c>
      <c r="K16" s="3" t="s">
        <v>29</v>
      </c>
      <c r="L16" s="6" t="s">
        <v>30</v>
      </c>
      <c r="M16" s="4" t="n">
        <v>0</v>
      </c>
      <c r="N16" s="4" t="n">
        <v>1</v>
      </c>
      <c r="O16" s="4" t="n">
        <v>1</v>
      </c>
      <c r="P16" s="4" t="n">
        <v>0</v>
      </c>
      <c r="Q16" s="4" t="n">
        <v>0</v>
      </c>
      <c r="R16" s="4" t="n">
        <f aca="false">MAX(0,MIN(5,SUM(M16:P16)-Q16))</f>
        <v>2</v>
      </c>
      <c r="S16" s="3" t="s">
        <v>140</v>
      </c>
      <c r="T16" s="6" t="s">
        <v>32</v>
      </c>
      <c r="U16" s="6" t="s">
        <v>33</v>
      </c>
    </row>
    <row r="17" customFormat="false" ht="45.75" hidden="false" customHeight="true" outlineLevel="0" collapsed="false">
      <c r="A17" s="2" t="n">
        <v>16</v>
      </c>
      <c r="B17" s="3" t="s">
        <v>21</v>
      </c>
      <c r="C17" s="3" t="s">
        <v>141</v>
      </c>
      <c r="D17" s="3" t="s">
        <v>142</v>
      </c>
      <c r="E17" s="2" t="s">
        <v>143</v>
      </c>
      <c r="F17" s="4" t="n">
        <v>4</v>
      </c>
      <c r="G17" s="3" t="s">
        <v>37</v>
      </c>
      <c r="H17" s="3" t="s">
        <v>144</v>
      </c>
      <c r="I17" s="3" t="s">
        <v>145</v>
      </c>
      <c r="J17" s="3" t="s">
        <v>62</v>
      </c>
      <c r="K17" s="3" t="s">
        <v>146</v>
      </c>
      <c r="L17" s="6" t="s">
        <v>64</v>
      </c>
      <c r="M17" s="4" t="n">
        <v>0</v>
      </c>
      <c r="N17" s="4" t="n">
        <v>1</v>
      </c>
      <c r="O17" s="4" t="n">
        <v>0</v>
      </c>
      <c r="P17" s="4" t="n">
        <v>0</v>
      </c>
      <c r="Q17" s="4" t="n">
        <v>0</v>
      </c>
      <c r="R17" s="4" t="n">
        <f aca="false">MAX(0,MIN(5,SUM(M17:P17)-Q17))</f>
        <v>1</v>
      </c>
      <c r="S17" s="3" t="s">
        <v>147</v>
      </c>
      <c r="T17" s="6" t="s">
        <v>66</v>
      </c>
      <c r="U17" s="6" t="s">
        <v>33</v>
      </c>
    </row>
    <row r="18" customFormat="false" ht="45.75" hidden="false" customHeight="true" outlineLevel="0" collapsed="false">
      <c r="A18" s="2" t="n">
        <v>17</v>
      </c>
      <c r="B18" s="3" t="s">
        <v>21</v>
      </c>
      <c r="C18" s="3" t="s">
        <v>148</v>
      </c>
      <c r="D18" s="3" t="s">
        <v>149</v>
      </c>
      <c r="E18" s="2" t="s">
        <v>150</v>
      </c>
      <c r="F18" s="4" t="n">
        <v>14</v>
      </c>
      <c r="G18" s="3" t="s">
        <v>25</v>
      </c>
      <c r="H18" s="3" t="s">
        <v>151</v>
      </c>
      <c r="I18" s="5" t="s">
        <v>152</v>
      </c>
      <c r="J18" s="5" t="s">
        <v>153</v>
      </c>
      <c r="K18" s="3" t="s">
        <v>154</v>
      </c>
      <c r="L18" s="6" t="s">
        <v>64</v>
      </c>
      <c r="M18" s="4" t="n">
        <v>1</v>
      </c>
      <c r="N18" s="4" t="n">
        <v>1</v>
      </c>
      <c r="O18" s="4" t="n">
        <v>0</v>
      </c>
      <c r="P18" s="4" t="n">
        <v>0</v>
      </c>
      <c r="Q18" s="4" t="n">
        <v>0</v>
      </c>
      <c r="R18" s="4" t="n">
        <f aca="false">MAX(0,MIN(5,SUM(M18:P18)-Q18))</f>
        <v>2</v>
      </c>
      <c r="S18" s="3" t="s">
        <v>155</v>
      </c>
      <c r="T18" s="6" t="s">
        <v>66</v>
      </c>
      <c r="U18" s="6" t="s">
        <v>33</v>
      </c>
    </row>
    <row r="19" customFormat="false" ht="45.75" hidden="false" customHeight="true" outlineLevel="0" collapsed="false">
      <c r="A19" s="2" t="n">
        <v>18</v>
      </c>
      <c r="B19" s="3" t="s">
        <v>21</v>
      </c>
      <c r="C19" s="3" t="s">
        <v>156</v>
      </c>
      <c r="D19" s="3" t="s">
        <v>157</v>
      </c>
      <c r="E19" s="2" t="s">
        <v>158</v>
      </c>
      <c r="F19" s="4" t="n">
        <v>11</v>
      </c>
      <c r="G19" s="3" t="s">
        <v>25</v>
      </c>
      <c r="H19" s="3" t="s">
        <v>159</v>
      </c>
      <c r="I19" s="5" t="s">
        <v>160</v>
      </c>
      <c r="J19" s="5" t="s">
        <v>161</v>
      </c>
      <c r="K19" s="3" t="s">
        <v>162</v>
      </c>
      <c r="L19" s="6" t="s">
        <v>64</v>
      </c>
      <c r="M19" s="4" t="n">
        <v>1</v>
      </c>
      <c r="N19" s="4" t="n">
        <v>1</v>
      </c>
      <c r="O19" s="4" t="n">
        <v>0</v>
      </c>
      <c r="P19" s="4" t="n">
        <v>0</v>
      </c>
      <c r="Q19" s="4" t="n">
        <v>0</v>
      </c>
      <c r="R19" s="4" t="n">
        <f aca="false">MAX(0,MIN(5,SUM(M19:P19)-Q19))</f>
        <v>2</v>
      </c>
      <c r="S19" s="3" t="s">
        <v>163</v>
      </c>
      <c r="T19" s="6" t="s">
        <v>66</v>
      </c>
      <c r="U19" s="6" t="s">
        <v>33</v>
      </c>
    </row>
    <row r="20" customFormat="false" ht="45.75" hidden="false" customHeight="true" outlineLevel="0" collapsed="false">
      <c r="A20" s="2" t="n">
        <v>19</v>
      </c>
      <c r="B20" s="3" t="s">
        <v>21</v>
      </c>
      <c r="C20" s="3" t="s">
        <v>164</v>
      </c>
      <c r="D20" s="3" t="s">
        <v>165</v>
      </c>
      <c r="E20" s="2" t="s">
        <v>166</v>
      </c>
      <c r="F20" s="4" t="n">
        <v>8</v>
      </c>
      <c r="G20" s="3" t="s">
        <v>37</v>
      </c>
      <c r="H20" s="3" t="s">
        <v>167</v>
      </c>
      <c r="I20" s="3" t="s">
        <v>168</v>
      </c>
      <c r="J20" s="5" t="s">
        <v>95</v>
      </c>
      <c r="K20" s="3" t="s">
        <v>96</v>
      </c>
      <c r="L20" s="6" t="s">
        <v>30</v>
      </c>
      <c r="M20" s="4" t="n">
        <v>1</v>
      </c>
      <c r="N20" s="4" t="n">
        <v>1</v>
      </c>
      <c r="O20" s="4" t="n">
        <v>1</v>
      </c>
      <c r="P20" s="4" t="n">
        <v>0</v>
      </c>
      <c r="Q20" s="4" t="n">
        <v>0</v>
      </c>
      <c r="R20" s="4" t="n">
        <f aca="false">MAX(0,MIN(5,SUM(M20:P20)-Q20))</f>
        <v>3</v>
      </c>
      <c r="S20" s="3" t="s">
        <v>169</v>
      </c>
      <c r="T20" s="6" t="s">
        <v>32</v>
      </c>
      <c r="U20" s="6" t="s">
        <v>33</v>
      </c>
    </row>
    <row r="21" customFormat="false" ht="45.75" hidden="false" customHeight="true" outlineLevel="0" collapsed="false">
      <c r="A21" s="2" t="n">
        <v>20</v>
      </c>
      <c r="B21" s="3" t="s">
        <v>170</v>
      </c>
      <c r="C21" s="3" t="s">
        <v>171</v>
      </c>
      <c r="D21" s="3" t="s">
        <v>172</v>
      </c>
      <c r="E21" s="2" t="s">
        <v>173</v>
      </c>
      <c r="F21" s="4" t="n">
        <v>14</v>
      </c>
      <c r="G21" s="3" t="s">
        <v>25</v>
      </c>
      <c r="H21" s="3" t="s">
        <v>174</v>
      </c>
      <c r="I21" s="5" t="s">
        <v>175</v>
      </c>
      <c r="J21" s="5" t="s">
        <v>176</v>
      </c>
      <c r="K21" s="3" t="s">
        <v>177</v>
      </c>
      <c r="L21" s="6" t="s">
        <v>64</v>
      </c>
      <c r="M21" s="4" t="n">
        <v>1</v>
      </c>
      <c r="N21" s="4" t="n">
        <v>1</v>
      </c>
      <c r="O21" s="4" t="n">
        <v>0</v>
      </c>
      <c r="P21" s="4" t="n">
        <v>1</v>
      </c>
      <c r="Q21" s="4" t="n">
        <v>0</v>
      </c>
      <c r="R21" s="4" t="n">
        <f aca="false">MAX(0,MIN(5,SUM(M21:P21)-Q21))</f>
        <v>3</v>
      </c>
      <c r="S21" s="3" t="s">
        <v>178</v>
      </c>
      <c r="T21" s="6" t="s">
        <v>66</v>
      </c>
      <c r="U21" s="6" t="s">
        <v>33</v>
      </c>
    </row>
    <row r="22" customFormat="false" ht="45.75" hidden="false" customHeight="true" outlineLevel="0" collapsed="false">
      <c r="A22" s="2" t="n">
        <v>21</v>
      </c>
      <c r="B22" s="3" t="s">
        <v>170</v>
      </c>
      <c r="C22" s="3" t="s">
        <v>179</v>
      </c>
      <c r="D22" s="3" t="s">
        <v>180</v>
      </c>
      <c r="E22" s="2" t="s">
        <v>181</v>
      </c>
      <c r="F22" s="4" t="n">
        <v>13</v>
      </c>
      <c r="G22" s="3" t="s">
        <v>182</v>
      </c>
      <c r="H22" s="3" t="s">
        <v>183</v>
      </c>
      <c r="I22" s="3" t="s">
        <v>184</v>
      </c>
      <c r="J22" s="3" t="s">
        <v>62</v>
      </c>
      <c r="K22" s="3" t="s">
        <v>185</v>
      </c>
      <c r="L22" s="6" t="s">
        <v>64</v>
      </c>
      <c r="M22" s="4" t="n">
        <v>1</v>
      </c>
      <c r="N22" s="4" t="n">
        <v>1</v>
      </c>
      <c r="O22" s="4" t="n">
        <v>0</v>
      </c>
      <c r="P22" s="4" t="n">
        <v>0</v>
      </c>
      <c r="Q22" s="4" t="n">
        <v>0</v>
      </c>
      <c r="R22" s="4" t="n">
        <f aca="false">MAX(0,MIN(5,SUM(M22:P22)-Q22))</f>
        <v>2</v>
      </c>
      <c r="S22" s="3" t="s">
        <v>186</v>
      </c>
      <c r="T22" s="6" t="s">
        <v>66</v>
      </c>
      <c r="U22" s="6" t="s">
        <v>33</v>
      </c>
    </row>
    <row r="23" customFormat="false" ht="32.25" hidden="false" customHeight="true" outlineLevel="0" collapsed="false">
      <c r="A23" s="2" t="n">
        <v>22</v>
      </c>
      <c r="B23" s="3" t="s">
        <v>170</v>
      </c>
      <c r="C23" s="3" t="s">
        <v>187</v>
      </c>
      <c r="D23" s="3" t="s">
        <v>188</v>
      </c>
      <c r="E23" s="2" t="s">
        <v>189</v>
      </c>
      <c r="F23" s="4" t="n">
        <v>15</v>
      </c>
      <c r="G23" s="3" t="s">
        <v>25</v>
      </c>
      <c r="H23" s="3" t="s">
        <v>190</v>
      </c>
      <c r="I23" s="3" t="s">
        <v>191</v>
      </c>
      <c r="J23" s="3" t="s">
        <v>62</v>
      </c>
      <c r="K23" s="3" t="s">
        <v>192</v>
      </c>
      <c r="L23" s="6" t="s">
        <v>64</v>
      </c>
      <c r="M23" s="4" t="n">
        <v>1</v>
      </c>
      <c r="N23" s="4" t="n">
        <v>1</v>
      </c>
      <c r="O23" s="4" t="n">
        <v>0</v>
      </c>
      <c r="P23" s="4" t="n">
        <v>1</v>
      </c>
      <c r="Q23" s="4" t="n">
        <v>0</v>
      </c>
      <c r="R23" s="4" t="n">
        <f aca="false">MAX(0,MIN(5,SUM(M23:P23)-Q23))</f>
        <v>3</v>
      </c>
      <c r="S23" s="3" t="s">
        <v>193</v>
      </c>
      <c r="T23" s="6" t="s">
        <v>66</v>
      </c>
      <c r="U23" s="6" t="s">
        <v>33</v>
      </c>
    </row>
    <row r="24" customFormat="false" ht="45.75" hidden="false" customHeight="true" outlineLevel="0" collapsed="false">
      <c r="A24" s="2" t="n">
        <v>23</v>
      </c>
      <c r="B24" s="3" t="s">
        <v>170</v>
      </c>
      <c r="C24" s="3" t="s">
        <v>194</v>
      </c>
      <c r="D24" s="3" t="s">
        <v>195</v>
      </c>
      <c r="E24" s="2" t="s">
        <v>196</v>
      </c>
      <c r="F24" s="4" t="n">
        <v>19</v>
      </c>
      <c r="G24" s="3" t="s">
        <v>25</v>
      </c>
      <c r="H24" s="3" t="s">
        <v>197</v>
      </c>
      <c r="I24" s="3" t="s">
        <v>198</v>
      </c>
      <c r="J24" s="3" t="s">
        <v>62</v>
      </c>
      <c r="K24" s="3" t="s">
        <v>199</v>
      </c>
      <c r="L24" s="6" t="s">
        <v>64</v>
      </c>
      <c r="M24" s="4" t="n">
        <v>2</v>
      </c>
      <c r="N24" s="4" t="n">
        <v>1</v>
      </c>
      <c r="O24" s="4" t="n">
        <v>0</v>
      </c>
      <c r="P24" s="4" t="n">
        <v>0</v>
      </c>
      <c r="Q24" s="4" t="n">
        <v>0</v>
      </c>
      <c r="R24" s="4" t="n">
        <f aca="false">MAX(0,MIN(5,SUM(M24:P24)-Q24))</f>
        <v>3</v>
      </c>
      <c r="S24" s="3" t="s">
        <v>200</v>
      </c>
      <c r="T24" s="6" t="s">
        <v>66</v>
      </c>
      <c r="U24" s="6" t="s">
        <v>33</v>
      </c>
    </row>
    <row r="25" customFormat="false" ht="45.75" hidden="false" customHeight="true" outlineLevel="0" collapsed="false">
      <c r="A25" s="2" t="n">
        <v>24</v>
      </c>
      <c r="B25" s="3" t="s">
        <v>170</v>
      </c>
      <c r="C25" s="3" t="s">
        <v>201</v>
      </c>
      <c r="D25" s="3" t="s">
        <v>202</v>
      </c>
      <c r="E25" s="2" t="s">
        <v>203</v>
      </c>
      <c r="F25" s="4" t="n">
        <v>6</v>
      </c>
      <c r="G25" s="3" t="s">
        <v>37</v>
      </c>
      <c r="H25" s="3" t="s">
        <v>204</v>
      </c>
      <c r="I25" s="5" t="s">
        <v>205</v>
      </c>
      <c r="J25" s="5" t="s">
        <v>161</v>
      </c>
      <c r="K25" s="3" t="s">
        <v>206</v>
      </c>
      <c r="L25" s="6" t="s">
        <v>64</v>
      </c>
      <c r="M25" s="4" t="n">
        <v>0</v>
      </c>
      <c r="N25" s="4" t="n">
        <v>1</v>
      </c>
      <c r="O25" s="4" t="n">
        <v>0</v>
      </c>
      <c r="P25" s="4" t="n">
        <v>1</v>
      </c>
      <c r="Q25" s="4" t="n">
        <v>0</v>
      </c>
      <c r="R25" s="4" t="n">
        <f aca="false">MAX(0,MIN(5,SUM(M25:P25)-Q25))</f>
        <v>2</v>
      </c>
      <c r="S25" s="3" t="s">
        <v>207</v>
      </c>
      <c r="T25" s="6" t="s">
        <v>66</v>
      </c>
      <c r="U25" s="6" t="s">
        <v>33</v>
      </c>
    </row>
    <row r="26" customFormat="false" ht="45.75" hidden="false" customHeight="true" outlineLevel="0" collapsed="false">
      <c r="A26" s="2" t="n">
        <v>25</v>
      </c>
      <c r="B26" s="3" t="s">
        <v>208</v>
      </c>
      <c r="C26" s="3" t="s">
        <v>209</v>
      </c>
      <c r="D26" s="3" t="s">
        <v>210</v>
      </c>
      <c r="E26" s="2" t="s">
        <v>211</v>
      </c>
      <c r="F26" s="4" t="n">
        <v>6</v>
      </c>
      <c r="G26" s="3" t="s">
        <v>212</v>
      </c>
      <c r="H26" s="3" t="s">
        <v>213</v>
      </c>
      <c r="I26" s="3" t="s">
        <v>214</v>
      </c>
      <c r="J26" s="3" t="s">
        <v>62</v>
      </c>
      <c r="K26" s="3" t="s">
        <v>215</v>
      </c>
      <c r="L26" s="6" t="s">
        <v>64</v>
      </c>
      <c r="M26" s="4" t="n">
        <v>0</v>
      </c>
      <c r="N26" s="4" t="n">
        <v>1</v>
      </c>
      <c r="O26" s="4" t="n">
        <v>0</v>
      </c>
      <c r="P26" s="4" t="n">
        <v>1</v>
      </c>
      <c r="Q26" s="4" t="n">
        <v>0</v>
      </c>
      <c r="R26" s="4" t="n">
        <f aca="false">MAX(0,MIN(5,SUM(M26:P26)-Q26))</f>
        <v>2</v>
      </c>
      <c r="S26" s="3" t="s">
        <v>216</v>
      </c>
      <c r="T26" s="6" t="s">
        <v>66</v>
      </c>
      <c r="U26" s="6" t="s">
        <v>33</v>
      </c>
    </row>
    <row r="27" customFormat="false" ht="45.75" hidden="false" customHeight="true" outlineLevel="0" collapsed="false">
      <c r="A27" s="2" t="n">
        <v>26</v>
      </c>
      <c r="B27" s="3" t="s">
        <v>208</v>
      </c>
      <c r="C27" s="3" t="s">
        <v>217</v>
      </c>
      <c r="D27" s="3" t="s">
        <v>218</v>
      </c>
      <c r="E27" s="2" t="s">
        <v>219</v>
      </c>
      <c r="F27" s="4" t="n">
        <v>9</v>
      </c>
      <c r="G27" s="3" t="s">
        <v>25</v>
      </c>
      <c r="H27" s="3" t="s">
        <v>220</v>
      </c>
      <c r="I27" s="5" t="s">
        <v>221</v>
      </c>
      <c r="J27" s="5" t="s">
        <v>222</v>
      </c>
      <c r="K27" s="3" t="s">
        <v>223</v>
      </c>
      <c r="L27" s="6" t="s">
        <v>64</v>
      </c>
      <c r="M27" s="4" t="n">
        <v>1</v>
      </c>
      <c r="N27" s="4" t="n">
        <v>1</v>
      </c>
      <c r="O27" s="4" t="n">
        <v>0</v>
      </c>
      <c r="P27" s="4" t="n">
        <v>1</v>
      </c>
      <c r="Q27" s="4" t="n">
        <v>1</v>
      </c>
      <c r="R27" s="4" t="n">
        <f aca="false">MAX(0,MIN(5,SUM(M27:P27)-Q27))</f>
        <v>2</v>
      </c>
      <c r="S27" s="3" t="s">
        <v>224</v>
      </c>
      <c r="T27" s="6" t="s">
        <v>66</v>
      </c>
      <c r="U27" s="6" t="s">
        <v>225</v>
      </c>
    </row>
    <row r="28" customFormat="false" ht="32.25" hidden="false" customHeight="true" outlineLevel="0" collapsed="false">
      <c r="A28" s="2" t="n">
        <v>27</v>
      </c>
      <c r="B28" s="3" t="s">
        <v>208</v>
      </c>
      <c r="C28" s="3" t="s">
        <v>226</v>
      </c>
      <c r="D28" s="3" t="s">
        <v>227</v>
      </c>
      <c r="E28" s="2" t="s">
        <v>228</v>
      </c>
      <c r="F28" s="4" t="n">
        <v>8</v>
      </c>
      <c r="G28" s="3" t="s">
        <v>25</v>
      </c>
      <c r="H28" s="3" t="s">
        <v>229</v>
      </c>
      <c r="I28" s="3" t="s">
        <v>230</v>
      </c>
      <c r="J28" s="3" t="s">
        <v>62</v>
      </c>
      <c r="K28" s="3" t="s">
        <v>215</v>
      </c>
      <c r="L28" s="6" t="s">
        <v>64</v>
      </c>
      <c r="M28" s="4" t="n">
        <v>1</v>
      </c>
      <c r="N28" s="4" t="n">
        <v>1</v>
      </c>
      <c r="O28" s="4" t="n">
        <v>0</v>
      </c>
      <c r="P28" s="4" t="n">
        <v>0</v>
      </c>
      <c r="Q28" s="4" t="n">
        <v>0</v>
      </c>
      <c r="R28" s="4" t="n">
        <f aca="false">MAX(0,MIN(5,SUM(M28:P28)-Q28))</f>
        <v>2</v>
      </c>
      <c r="S28" s="3" t="s">
        <v>231</v>
      </c>
      <c r="T28" s="6" t="s">
        <v>66</v>
      </c>
      <c r="U28" s="6" t="s">
        <v>33</v>
      </c>
    </row>
    <row r="29" customFormat="false" ht="32.25" hidden="false" customHeight="true" outlineLevel="0" collapsed="false">
      <c r="A29" s="2" t="n">
        <v>28</v>
      </c>
      <c r="B29" s="3" t="s">
        <v>208</v>
      </c>
      <c r="C29" s="3" t="s">
        <v>232</v>
      </c>
      <c r="D29" s="3" t="s">
        <v>233</v>
      </c>
      <c r="E29" s="2" t="s">
        <v>234</v>
      </c>
      <c r="F29" s="4" t="n">
        <v>18</v>
      </c>
      <c r="G29" s="3" t="s">
        <v>235</v>
      </c>
      <c r="H29" s="3" t="s">
        <v>236</v>
      </c>
      <c r="I29" s="3" t="s">
        <v>237</v>
      </c>
      <c r="J29" s="3" t="s">
        <v>62</v>
      </c>
      <c r="K29" s="3" t="s">
        <v>238</v>
      </c>
      <c r="L29" s="6" t="s">
        <v>64</v>
      </c>
      <c r="M29" s="4" t="n">
        <v>2</v>
      </c>
      <c r="N29" s="4" t="n">
        <v>1</v>
      </c>
      <c r="O29" s="4" t="n">
        <v>0</v>
      </c>
      <c r="P29" s="4" t="n">
        <v>0</v>
      </c>
      <c r="Q29" s="4" t="n">
        <v>0</v>
      </c>
      <c r="R29" s="4" t="n">
        <f aca="false">MAX(0,MIN(5,SUM(M29:P29)-Q29))</f>
        <v>3</v>
      </c>
      <c r="S29" s="3" t="s">
        <v>239</v>
      </c>
      <c r="T29" s="6" t="s">
        <v>66</v>
      </c>
      <c r="U29" s="6" t="s">
        <v>33</v>
      </c>
    </row>
    <row r="30" customFormat="false" ht="45.75" hidden="false" customHeight="true" outlineLevel="0" collapsed="false">
      <c r="A30" s="2" t="n">
        <v>29</v>
      </c>
      <c r="B30" s="3" t="s">
        <v>208</v>
      </c>
      <c r="C30" s="3" t="s">
        <v>240</v>
      </c>
      <c r="D30" s="3" t="s">
        <v>241</v>
      </c>
      <c r="E30" s="2" t="s">
        <v>242</v>
      </c>
      <c r="F30" s="4" t="n">
        <v>14</v>
      </c>
      <c r="G30" s="3" t="s">
        <v>243</v>
      </c>
      <c r="H30" s="3" t="s">
        <v>244</v>
      </c>
      <c r="I30" s="3" t="s">
        <v>245</v>
      </c>
      <c r="J30" s="5" t="s">
        <v>246</v>
      </c>
      <c r="K30" s="3" t="s">
        <v>247</v>
      </c>
      <c r="L30" s="6" t="s">
        <v>30</v>
      </c>
      <c r="M30" s="4" t="n">
        <v>1</v>
      </c>
      <c r="N30" s="4" t="n">
        <v>0</v>
      </c>
      <c r="O30" s="4" t="n">
        <v>1</v>
      </c>
      <c r="P30" s="4" t="n">
        <v>0</v>
      </c>
      <c r="Q30" s="4" t="n">
        <v>1</v>
      </c>
      <c r="R30" s="4" t="n">
        <f aca="false">MAX(0,MIN(5,SUM(M30:P30)-Q30))</f>
        <v>1</v>
      </c>
      <c r="S30" s="3" t="s">
        <v>248</v>
      </c>
      <c r="T30" s="6" t="s">
        <v>32</v>
      </c>
      <c r="U30" s="6" t="s">
        <v>225</v>
      </c>
    </row>
    <row r="31" customFormat="false" ht="45.75" hidden="false" customHeight="true" outlineLevel="0" collapsed="false">
      <c r="A31" s="2" t="n">
        <v>30</v>
      </c>
      <c r="B31" s="3" t="s">
        <v>208</v>
      </c>
      <c r="C31" s="3" t="s">
        <v>249</v>
      </c>
      <c r="D31" s="3" t="s">
        <v>250</v>
      </c>
      <c r="E31" s="2" t="s">
        <v>251</v>
      </c>
      <c r="F31" s="4" t="n">
        <v>3</v>
      </c>
      <c r="G31" s="3" t="s">
        <v>252</v>
      </c>
      <c r="H31" s="3" t="s">
        <v>253</v>
      </c>
      <c r="I31" s="5" t="s">
        <v>254</v>
      </c>
      <c r="J31" s="5" t="s">
        <v>153</v>
      </c>
      <c r="K31" s="3" t="s">
        <v>255</v>
      </c>
      <c r="L31" s="6" t="s">
        <v>64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f aca="false">MAX(0,MIN(5,SUM(M31:P31)-Q31))</f>
        <v>0</v>
      </c>
      <c r="S31" s="3" t="s">
        <v>256</v>
      </c>
      <c r="T31" s="6" t="s">
        <v>66</v>
      </c>
      <c r="U31" s="6" t="s">
        <v>225</v>
      </c>
    </row>
    <row r="32" customFormat="false" ht="45.75" hidden="false" customHeight="true" outlineLevel="0" collapsed="false">
      <c r="A32" s="2" t="n">
        <v>31</v>
      </c>
      <c r="B32" s="3" t="s">
        <v>257</v>
      </c>
      <c r="C32" s="3" t="s">
        <v>258</v>
      </c>
      <c r="D32" s="3" t="s">
        <v>259</v>
      </c>
      <c r="E32" s="2" t="s">
        <v>260</v>
      </c>
      <c r="F32" s="4" t="n">
        <v>12</v>
      </c>
      <c r="G32" s="3" t="s">
        <v>25</v>
      </c>
      <c r="H32" s="3" t="s">
        <v>261</v>
      </c>
      <c r="I32" s="5" t="s">
        <v>262</v>
      </c>
      <c r="J32" s="5" t="s">
        <v>161</v>
      </c>
      <c r="K32" s="3" t="s">
        <v>263</v>
      </c>
      <c r="L32" s="6" t="s">
        <v>64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f aca="false">MAX(0,MIN(5,SUM(M32:P32)-Q32))</f>
        <v>3</v>
      </c>
      <c r="S32" s="3" t="s">
        <v>264</v>
      </c>
      <c r="T32" s="6" t="s">
        <v>66</v>
      </c>
      <c r="U32" s="6" t="s">
        <v>33</v>
      </c>
    </row>
    <row r="33" customFormat="false" ht="45.75" hidden="false" customHeight="true" outlineLevel="0" collapsed="false">
      <c r="A33" s="2" t="n">
        <v>32</v>
      </c>
      <c r="B33" s="3" t="s">
        <v>257</v>
      </c>
      <c r="C33" s="3" t="s">
        <v>265</v>
      </c>
      <c r="D33" s="3" t="s">
        <v>266</v>
      </c>
      <c r="E33" s="2" t="s">
        <v>267</v>
      </c>
      <c r="F33" s="4" t="n">
        <v>1</v>
      </c>
      <c r="G33" s="3" t="s">
        <v>25</v>
      </c>
      <c r="H33" s="3" t="s">
        <v>268</v>
      </c>
      <c r="I33" s="3" t="s">
        <v>269</v>
      </c>
      <c r="J33" s="5" t="s">
        <v>270</v>
      </c>
      <c r="K33" s="3" t="s">
        <v>271</v>
      </c>
      <c r="L33" s="6" t="s">
        <v>30</v>
      </c>
      <c r="M33" s="4" t="n">
        <v>0</v>
      </c>
      <c r="N33" s="4" t="n">
        <v>1</v>
      </c>
      <c r="O33" s="4" t="n">
        <v>1</v>
      </c>
      <c r="P33" s="4" t="n">
        <v>1</v>
      </c>
      <c r="Q33" s="4" t="n">
        <v>1</v>
      </c>
      <c r="R33" s="4" t="n">
        <f aca="false">MAX(0,MIN(5,SUM(M33:P33)-Q33))</f>
        <v>2</v>
      </c>
      <c r="S33" s="3" t="s">
        <v>272</v>
      </c>
      <c r="T33" s="6" t="s">
        <v>32</v>
      </c>
      <c r="U33" s="6" t="s">
        <v>225</v>
      </c>
    </row>
    <row r="34" customFormat="false" ht="45.75" hidden="false" customHeight="true" outlineLevel="0" collapsed="false">
      <c r="A34" s="2" t="n">
        <v>33</v>
      </c>
      <c r="B34" s="3" t="s">
        <v>257</v>
      </c>
      <c r="C34" s="3" t="s">
        <v>273</v>
      </c>
      <c r="D34" s="3" t="s">
        <v>274</v>
      </c>
      <c r="E34" s="2" t="s">
        <v>275</v>
      </c>
      <c r="F34" s="4" t="n">
        <v>13</v>
      </c>
      <c r="G34" s="3" t="s">
        <v>25</v>
      </c>
      <c r="H34" s="3" t="s">
        <v>276</v>
      </c>
      <c r="I34" s="3" t="s">
        <v>277</v>
      </c>
      <c r="J34" s="3" t="s">
        <v>62</v>
      </c>
      <c r="K34" s="3" t="s">
        <v>278</v>
      </c>
      <c r="L34" s="6" t="s">
        <v>64</v>
      </c>
      <c r="M34" s="4" t="n">
        <v>1</v>
      </c>
      <c r="N34" s="4" t="n">
        <v>1</v>
      </c>
      <c r="O34" s="4" t="n">
        <v>0</v>
      </c>
      <c r="P34" s="4" t="n">
        <v>1</v>
      </c>
      <c r="Q34" s="4" t="n">
        <v>1</v>
      </c>
      <c r="R34" s="4" t="n">
        <f aca="false">MAX(0,MIN(5,SUM(M34:P34)-Q34))</f>
        <v>2</v>
      </c>
      <c r="S34" s="3" t="s">
        <v>279</v>
      </c>
      <c r="T34" s="6" t="s">
        <v>66</v>
      </c>
      <c r="U34" s="6" t="s">
        <v>225</v>
      </c>
    </row>
    <row r="35" customFormat="false" ht="45.75" hidden="false" customHeight="true" outlineLevel="0" collapsed="false">
      <c r="A35" s="2" t="n">
        <v>34</v>
      </c>
      <c r="B35" s="3" t="s">
        <v>257</v>
      </c>
      <c r="C35" s="3" t="s">
        <v>280</v>
      </c>
      <c r="D35" s="3" t="s">
        <v>281</v>
      </c>
      <c r="E35" s="2" t="s">
        <v>282</v>
      </c>
      <c r="F35" s="4" t="n">
        <v>5</v>
      </c>
      <c r="G35" s="3" t="s">
        <v>25</v>
      </c>
      <c r="H35" s="3" t="s">
        <v>283</v>
      </c>
      <c r="I35" s="5" t="s">
        <v>284</v>
      </c>
      <c r="J35" s="5" t="s">
        <v>161</v>
      </c>
      <c r="K35" s="3" t="s">
        <v>285</v>
      </c>
      <c r="L35" s="6" t="s">
        <v>64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f aca="false">MAX(0,MIN(5,SUM(M35:P35)-Q35))</f>
        <v>1</v>
      </c>
      <c r="S35" s="3" t="s">
        <v>286</v>
      </c>
      <c r="T35" s="6" t="s">
        <v>66</v>
      </c>
      <c r="U35" s="6" t="s">
        <v>33</v>
      </c>
    </row>
    <row r="36" customFormat="false" ht="45.75" hidden="false" customHeight="true" outlineLevel="0" collapsed="false">
      <c r="A36" s="2" t="n">
        <v>35</v>
      </c>
      <c r="B36" s="3" t="s">
        <v>257</v>
      </c>
      <c r="C36" s="3" t="s">
        <v>287</v>
      </c>
      <c r="D36" s="3" t="s">
        <v>288</v>
      </c>
      <c r="E36" s="2" t="s">
        <v>289</v>
      </c>
      <c r="F36" s="4" t="n">
        <v>5</v>
      </c>
      <c r="G36" s="3" t="s">
        <v>37</v>
      </c>
      <c r="H36" s="3" t="s">
        <v>290</v>
      </c>
      <c r="I36" s="3" t="s">
        <v>291</v>
      </c>
      <c r="J36" s="3" t="s">
        <v>62</v>
      </c>
      <c r="K36" s="3" t="s">
        <v>292</v>
      </c>
      <c r="L36" s="6" t="s">
        <v>64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f aca="false">MAX(0,MIN(5,SUM(M36:P36)-Q36))</f>
        <v>2</v>
      </c>
      <c r="S36" s="3" t="s">
        <v>293</v>
      </c>
      <c r="T36" s="6" t="s">
        <v>66</v>
      </c>
      <c r="U36" s="6" t="s">
        <v>33</v>
      </c>
    </row>
  </sheetData>
  <autoFilter ref="A1:U36"/>
  <conditionalFormatting sqref="R2:R3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36">
    <cfRule type="cellIs" priority="4" operator="equal" aboveAverage="0" equalAverage="0" bottom="0" percent="0" rank="0" text="" dxfId="25">
      <formula>"已发布"</formula>
    </cfRule>
    <cfRule type="cellIs" priority="5" operator="equal" aboveAverage="0" equalAverage="0" bottom="0" percent="0" rank="0" text="" dxfId="26">
      <formula>"暂缓"</formula>
    </cfRule>
  </conditionalFormatting>
  <conditionalFormatting sqref="U2:U36">
    <cfRule type="cellIs" priority="6" operator="equal" aboveAverage="0" equalAverage="0" bottom="0" percent="0" rank="0" text="" dxfId="27">
      <formula>"是"</formula>
    </cfRule>
  </conditionalFormatting>
  <conditionalFormatting sqref="L2:L36">
    <cfRule type="cellIs" priority="7" operator="equal" aboveAverage="0" equalAverage="0" bottom="0" percent="0" rank="0" text="" dxfId="28">
      <formula>"待核验"</formula>
    </cfRule>
  </conditionalFormatting>
  <dataValidations count="2">
    <dataValidation allowBlank="false" error="请从下拉列表中选择状态" errorStyle="stop" operator="between" showDropDown="false" showErrorMessage="false" showInputMessage="false" sqref="T2:T36" type="list">
      <formula1>"未开始,资料收集,脚本撰写,已发布,暂缓"</formula1>
      <formula2>0</formula2>
    </dataValidation>
    <dataValidation allowBlank="false" errorStyle="stop" operator="between" showDropDown="false" showErrorMessage="false" showInputMessage="false" sqref="U2:U36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9.1"/>
    <col collapsed="false" customWidth="true" hidden="false" outlineLevel="0" max="3" min="3" style="0" width="10.01"/>
    <col collapsed="false" customWidth="true" hidden="false" outlineLevel="0" max="4" min="4" style="0" width="27.3"/>
    <col collapsed="false" customWidth="true" hidden="false" outlineLevel="0" max="5" min="5" style="0" width="7.28"/>
    <col collapsed="false" customWidth="true" hidden="false" outlineLevel="0" max="6" min="6" style="0" width="10.01"/>
    <col collapsed="false" customWidth="true" hidden="false" outlineLevel="0" max="7" min="7" style="0" width="9.1"/>
    <col collapsed="false" customWidth="true" hidden="false" outlineLevel="0" max="8" min="8" style="0" width="11.83"/>
    <col collapsed="false" customWidth="true" hidden="false" outlineLevel="0" max="9" min="9" style="0" width="47.31"/>
    <col collapsed="false" customWidth="true" hidden="false" outlineLevel="0" max="10" min="10" style="0" width="9.1"/>
  </cols>
  <sheetData>
    <row r="1" customFormat="false" ht="30" hidden="false" customHeight="true" outlineLevel="0" collapsed="false">
      <c r="A1" s="1" t="s">
        <v>294</v>
      </c>
      <c r="B1" s="1" t="s">
        <v>295</v>
      </c>
      <c r="C1" s="1" t="s">
        <v>296</v>
      </c>
      <c r="D1" s="1" t="s">
        <v>2</v>
      </c>
      <c r="E1" s="1" t="s">
        <v>17</v>
      </c>
      <c r="F1" s="1" t="s">
        <v>297</v>
      </c>
      <c r="G1" s="1" t="s">
        <v>11</v>
      </c>
      <c r="H1" s="1" t="s">
        <v>9</v>
      </c>
      <c r="I1" s="1" t="s">
        <v>298</v>
      </c>
      <c r="J1" s="1" t="s">
        <v>19</v>
      </c>
    </row>
    <row r="2" customFormat="false" ht="45.75" hidden="false" customHeight="true" outlineLevel="0" collapsed="false">
      <c r="A2" s="6" t="s">
        <v>299</v>
      </c>
      <c r="B2" s="6" t="s">
        <v>300</v>
      </c>
      <c r="C2" s="4" t="n">
        <v>4</v>
      </c>
      <c r="D2" s="3" t="s">
        <v>49</v>
      </c>
      <c r="E2" s="4" t="n">
        <f aca="false">选题库!R5</f>
        <v>5</v>
      </c>
      <c r="F2" s="4" t="n">
        <v>45</v>
      </c>
      <c r="G2" s="6" t="s">
        <v>30</v>
      </c>
      <c r="H2" s="2" t="s">
        <v>54</v>
      </c>
      <c r="I2" s="3" t="s">
        <v>301</v>
      </c>
      <c r="J2" s="6" t="s">
        <v>32</v>
      </c>
    </row>
    <row r="3" customFormat="false" ht="32.25" hidden="false" customHeight="true" outlineLevel="0" collapsed="false">
      <c r="A3" s="6" t="s">
        <v>299</v>
      </c>
      <c r="B3" s="6" t="s">
        <v>300</v>
      </c>
      <c r="C3" s="4" t="n">
        <v>2</v>
      </c>
      <c r="D3" s="3" t="s">
        <v>34</v>
      </c>
      <c r="E3" s="4" t="n">
        <f aca="false">选题库!R3</f>
        <v>4</v>
      </c>
      <c r="F3" s="4" t="n">
        <v>45</v>
      </c>
      <c r="G3" s="6" t="s">
        <v>30</v>
      </c>
      <c r="H3" s="2" t="s">
        <v>40</v>
      </c>
      <c r="I3" s="5" t="s">
        <v>302</v>
      </c>
      <c r="J3" s="6" t="s">
        <v>32</v>
      </c>
    </row>
    <row r="4" customFormat="false" ht="32.25" hidden="false" customHeight="true" outlineLevel="0" collapsed="false">
      <c r="A4" s="6" t="s">
        <v>299</v>
      </c>
      <c r="B4" s="6" t="s">
        <v>303</v>
      </c>
      <c r="C4" s="4" t="n">
        <v>23</v>
      </c>
      <c r="D4" s="3" t="s">
        <v>194</v>
      </c>
      <c r="E4" s="4" t="n">
        <f aca="false">选题库!R24</f>
        <v>3</v>
      </c>
      <c r="F4" s="4" t="n">
        <v>15</v>
      </c>
      <c r="G4" s="6" t="s">
        <v>64</v>
      </c>
      <c r="H4" s="6" t="s">
        <v>62</v>
      </c>
      <c r="I4" s="3" t="s">
        <v>304</v>
      </c>
      <c r="J4" s="6" t="s">
        <v>32</v>
      </c>
    </row>
    <row r="5" customFormat="false" ht="32.25" hidden="false" customHeight="true" outlineLevel="0" collapsed="false">
      <c r="A5" s="6" t="s">
        <v>299</v>
      </c>
      <c r="B5" s="6" t="s">
        <v>303</v>
      </c>
      <c r="C5" s="4" t="n">
        <v>28</v>
      </c>
      <c r="D5" s="3" t="s">
        <v>232</v>
      </c>
      <c r="E5" s="4" t="n">
        <f aca="false">选题库!R29</f>
        <v>3</v>
      </c>
      <c r="F5" s="4" t="n">
        <v>15</v>
      </c>
      <c r="G5" s="6" t="s">
        <v>64</v>
      </c>
      <c r="H5" s="6" t="s">
        <v>62</v>
      </c>
      <c r="I5" s="3" t="s">
        <v>305</v>
      </c>
      <c r="J5" s="6" t="s">
        <v>32</v>
      </c>
    </row>
    <row r="6" customFormat="false" ht="32.25" hidden="false" customHeight="true" outlineLevel="0" collapsed="false">
      <c r="A6" s="6" t="s">
        <v>306</v>
      </c>
      <c r="B6" s="6" t="s">
        <v>300</v>
      </c>
      <c r="C6" s="4" t="n">
        <v>12</v>
      </c>
      <c r="D6" s="3" t="s">
        <v>113</v>
      </c>
      <c r="E6" s="4" t="n">
        <f aca="false">选题库!R13</f>
        <v>4</v>
      </c>
      <c r="F6" s="4" t="n">
        <v>45</v>
      </c>
      <c r="G6" s="6" t="s">
        <v>30</v>
      </c>
      <c r="H6" s="2" t="s">
        <v>118</v>
      </c>
      <c r="I6" s="5" t="s">
        <v>307</v>
      </c>
      <c r="J6" s="6" t="s">
        <v>32</v>
      </c>
    </row>
    <row r="7" customFormat="false" ht="32.25" hidden="false" customHeight="true" outlineLevel="0" collapsed="false">
      <c r="A7" s="6" t="s">
        <v>306</v>
      </c>
      <c r="B7" s="6" t="s">
        <v>300</v>
      </c>
      <c r="C7" s="4" t="n">
        <v>6</v>
      </c>
      <c r="D7" s="3" t="s">
        <v>67</v>
      </c>
      <c r="E7" s="4" t="n">
        <f aca="false">选题库!R7</f>
        <v>4</v>
      </c>
      <c r="F7" s="4" t="n">
        <v>45</v>
      </c>
      <c r="G7" s="6" t="s">
        <v>30</v>
      </c>
      <c r="H7" s="2" t="s">
        <v>72</v>
      </c>
      <c r="I7" s="5" t="s">
        <v>308</v>
      </c>
      <c r="J7" s="6" t="s">
        <v>32</v>
      </c>
    </row>
    <row r="8" customFormat="false" ht="32.25" hidden="false" customHeight="true" outlineLevel="0" collapsed="false">
      <c r="A8" s="6" t="s">
        <v>306</v>
      </c>
      <c r="B8" s="6" t="s">
        <v>303</v>
      </c>
      <c r="C8" s="4" t="n">
        <v>10</v>
      </c>
      <c r="D8" s="3" t="s">
        <v>98</v>
      </c>
      <c r="E8" s="4" t="n">
        <f aca="false">选题库!R11</f>
        <v>3</v>
      </c>
      <c r="F8" s="4" t="n">
        <v>15</v>
      </c>
      <c r="G8" s="6" t="s">
        <v>64</v>
      </c>
      <c r="H8" s="6" t="s">
        <v>62</v>
      </c>
      <c r="I8" s="3" t="s">
        <v>309</v>
      </c>
      <c r="J8" s="6" t="s">
        <v>32</v>
      </c>
    </row>
    <row r="9" customFormat="false" ht="19.5" hidden="false" customHeight="true" outlineLevel="0" collapsed="false">
      <c r="A9" s="6" t="s">
        <v>306</v>
      </c>
      <c r="B9" s="6" t="s">
        <v>303</v>
      </c>
      <c r="C9" s="4" t="n">
        <v>22</v>
      </c>
      <c r="D9" s="3" t="s">
        <v>187</v>
      </c>
      <c r="E9" s="4" t="n">
        <f aca="false">选题库!R23</f>
        <v>3</v>
      </c>
      <c r="F9" s="4" t="n">
        <v>15</v>
      </c>
      <c r="G9" s="6" t="s">
        <v>64</v>
      </c>
      <c r="H9" s="6" t="s">
        <v>62</v>
      </c>
      <c r="I9" s="3" t="s">
        <v>310</v>
      </c>
      <c r="J9" s="6" t="s">
        <v>32</v>
      </c>
    </row>
    <row r="10" customFormat="false" ht="32.25" hidden="false" customHeight="true" outlineLevel="0" collapsed="false">
      <c r="A10" s="6" t="s">
        <v>311</v>
      </c>
      <c r="B10" s="6" t="s">
        <v>300</v>
      </c>
      <c r="C10" s="4" t="n">
        <v>7</v>
      </c>
      <c r="D10" s="3" t="s">
        <v>75</v>
      </c>
      <c r="E10" s="4" t="n">
        <f aca="false">选题库!R8</f>
        <v>4</v>
      </c>
      <c r="F10" s="4" t="n">
        <v>45</v>
      </c>
      <c r="G10" s="6" t="s">
        <v>30</v>
      </c>
      <c r="H10" s="2" t="s">
        <v>72</v>
      </c>
      <c r="I10" s="5" t="s">
        <v>312</v>
      </c>
      <c r="J10" s="6" t="s">
        <v>32</v>
      </c>
    </row>
    <row r="11" customFormat="false" ht="32.25" hidden="false" customHeight="true" outlineLevel="0" collapsed="false">
      <c r="A11" s="6" t="s">
        <v>311</v>
      </c>
      <c r="B11" s="6" t="s">
        <v>300</v>
      </c>
      <c r="C11" s="4" t="n">
        <v>8</v>
      </c>
      <c r="D11" s="3" t="s">
        <v>82</v>
      </c>
      <c r="E11" s="4" t="n">
        <f aca="false">选题库!R9</f>
        <v>4</v>
      </c>
      <c r="F11" s="4" t="n">
        <v>45</v>
      </c>
      <c r="G11" s="6" t="s">
        <v>30</v>
      </c>
      <c r="H11" s="2" t="s">
        <v>87</v>
      </c>
      <c r="I11" s="5" t="s">
        <v>313</v>
      </c>
      <c r="J11" s="6" t="s">
        <v>32</v>
      </c>
    </row>
    <row r="12" customFormat="false" ht="32.25" hidden="false" customHeight="true" outlineLevel="0" collapsed="false">
      <c r="A12" s="6" t="s">
        <v>311</v>
      </c>
      <c r="B12" s="6" t="s">
        <v>303</v>
      </c>
      <c r="C12" s="4" t="n">
        <v>20</v>
      </c>
      <c r="D12" s="3" t="s">
        <v>171</v>
      </c>
      <c r="E12" s="4" t="n">
        <f aca="false">选题库!R21</f>
        <v>3</v>
      </c>
      <c r="F12" s="4" t="n">
        <v>15</v>
      </c>
      <c r="G12" s="6" t="s">
        <v>64</v>
      </c>
      <c r="H12" s="2" t="s">
        <v>176</v>
      </c>
      <c r="I12" s="3" t="s">
        <v>314</v>
      </c>
      <c r="J12" s="6" t="s">
        <v>32</v>
      </c>
    </row>
    <row r="13" customFormat="false" ht="32.25" hidden="false" customHeight="true" outlineLevel="0" collapsed="false">
      <c r="A13" s="6" t="s">
        <v>311</v>
      </c>
      <c r="B13" s="6" t="s">
        <v>303</v>
      </c>
      <c r="C13" s="4" t="n">
        <v>31</v>
      </c>
      <c r="D13" s="3" t="s">
        <v>258</v>
      </c>
      <c r="E13" s="4" t="n">
        <f aca="false">选题库!R32</f>
        <v>3</v>
      </c>
      <c r="F13" s="4" t="n">
        <v>15</v>
      </c>
      <c r="G13" s="6" t="s">
        <v>64</v>
      </c>
      <c r="H13" s="2" t="s">
        <v>161</v>
      </c>
      <c r="I13" s="3" t="s">
        <v>315</v>
      </c>
      <c r="J13" s="6" t="s">
        <v>32</v>
      </c>
    </row>
    <row r="14" customFormat="false" ht="32.25" hidden="false" customHeight="true" outlineLevel="0" collapsed="false">
      <c r="A14" s="6" t="s">
        <v>316</v>
      </c>
      <c r="B14" s="6" t="s">
        <v>300</v>
      </c>
      <c r="C14" s="4" t="n">
        <v>1</v>
      </c>
      <c r="D14" s="3" t="s">
        <v>22</v>
      </c>
      <c r="E14" s="4" t="n">
        <f aca="false">选题库!R2</f>
        <v>4</v>
      </c>
      <c r="F14" s="4" t="n">
        <v>45</v>
      </c>
      <c r="G14" s="6" t="s">
        <v>30</v>
      </c>
      <c r="H14" s="2" t="s">
        <v>28</v>
      </c>
      <c r="I14" s="5" t="s">
        <v>317</v>
      </c>
      <c r="J14" s="6" t="s">
        <v>32</v>
      </c>
    </row>
    <row r="15" customFormat="false" ht="32.25" hidden="false" customHeight="true" outlineLevel="0" collapsed="false">
      <c r="A15" s="6" t="s">
        <v>316</v>
      </c>
      <c r="B15" s="6" t="s">
        <v>300</v>
      </c>
      <c r="C15" s="4" t="n">
        <v>9</v>
      </c>
      <c r="D15" s="3" t="s">
        <v>90</v>
      </c>
      <c r="E15" s="4" t="n">
        <f aca="false">选题库!R10</f>
        <v>3</v>
      </c>
      <c r="F15" s="4" t="n">
        <v>45</v>
      </c>
      <c r="G15" s="6" t="s">
        <v>30</v>
      </c>
      <c r="H15" s="2" t="s">
        <v>95</v>
      </c>
      <c r="I15" s="5" t="s">
        <v>318</v>
      </c>
      <c r="J15" s="6" t="s">
        <v>32</v>
      </c>
    </row>
    <row r="16" customFormat="false" ht="32.25" hidden="false" customHeight="true" outlineLevel="0" collapsed="false">
      <c r="A16" s="6" t="s">
        <v>316</v>
      </c>
      <c r="B16" s="6" t="s">
        <v>303</v>
      </c>
      <c r="C16" s="4" t="n">
        <v>17</v>
      </c>
      <c r="D16" s="3" t="s">
        <v>148</v>
      </c>
      <c r="E16" s="4" t="n">
        <f aca="false">选题库!R18</f>
        <v>2</v>
      </c>
      <c r="F16" s="4" t="n">
        <v>15</v>
      </c>
      <c r="G16" s="6" t="s">
        <v>64</v>
      </c>
      <c r="H16" s="2" t="s">
        <v>153</v>
      </c>
      <c r="I16" s="3" t="s">
        <v>319</v>
      </c>
      <c r="J16" s="6" t="s">
        <v>32</v>
      </c>
    </row>
    <row r="17" customFormat="false" ht="32.25" hidden="false" customHeight="true" outlineLevel="0" collapsed="false">
      <c r="A17" s="6" t="s">
        <v>316</v>
      </c>
      <c r="B17" s="6" t="s">
        <v>303</v>
      </c>
      <c r="C17" s="4" t="n">
        <v>33</v>
      </c>
      <c r="D17" s="3" t="s">
        <v>273</v>
      </c>
      <c r="E17" s="4" t="n">
        <f aca="false">选题库!R34</f>
        <v>2</v>
      </c>
      <c r="F17" s="4" t="n">
        <v>15</v>
      </c>
      <c r="G17" s="6" t="s">
        <v>64</v>
      </c>
      <c r="H17" s="6" t="s">
        <v>62</v>
      </c>
      <c r="I17" s="3" t="s">
        <v>320</v>
      </c>
      <c r="J17" s="6" t="s">
        <v>32</v>
      </c>
    </row>
    <row r="18" customFormat="false" ht="19.5" hidden="false" customHeight="true" outlineLevel="0" collapsed="false">
      <c r="A18" s="7" t="s">
        <v>321</v>
      </c>
      <c r="B18" s="7" t="s">
        <v>300</v>
      </c>
      <c r="C18" s="8" t="n">
        <v>19</v>
      </c>
      <c r="D18" s="9" t="s">
        <v>164</v>
      </c>
      <c r="E18" s="8" t="n">
        <f aca="false">选题库!R20</f>
        <v>3</v>
      </c>
      <c r="F18" s="8" t="n">
        <v>45</v>
      </c>
      <c r="G18" s="7" t="s">
        <v>30</v>
      </c>
      <c r="H18" s="10" t="s">
        <v>95</v>
      </c>
      <c r="I18" s="11" t="s">
        <v>322</v>
      </c>
      <c r="J18" s="7" t="s">
        <v>32</v>
      </c>
    </row>
    <row r="19" customFormat="false" ht="19.5" hidden="false" customHeight="true" outlineLevel="0" collapsed="false">
      <c r="A19" s="7" t="s">
        <v>321</v>
      </c>
      <c r="B19" s="7" t="s">
        <v>300</v>
      </c>
      <c r="C19" s="8" t="n">
        <v>15</v>
      </c>
      <c r="D19" s="9" t="s">
        <v>135</v>
      </c>
      <c r="E19" s="8" t="n">
        <f aca="false">选题库!R16</f>
        <v>2</v>
      </c>
      <c r="F19" s="8" t="n">
        <v>45</v>
      </c>
      <c r="G19" s="7" t="s">
        <v>30</v>
      </c>
      <c r="H19" s="10" t="s">
        <v>28</v>
      </c>
      <c r="I19" s="11" t="s">
        <v>323</v>
      </c>
      <c r="J19" s="7" t="s">
        <v>32</v>
      </c>
    </row>
    <row r="20" customFormat="false" ht="19.5" hidden="false" customHeight="true" outlineLevel="0" collapsed="false">
      <c r="A20" s="7" t="s">
        <v>321</v>
      </c>
      <c r="B20" s="7" t="s">
        <v>300</v>
      </c>
      <c r="C20" s="8" t="n">
        <v>11</v>
      </c>
      <c r="D20" s="9" t="s">
        <v>105</v>
      </c>
      <c r="E20" s="8" t="n">
        <f aca="false">选题库!R12</f>
        <v>2</v>
      </c>
      <c r="F20" s="8" t="n">
        <v>45</v>
      </c>
      <c r="G20" s="7" t="s">
        <v>30</v>
      </c>
      <c r="H20" s="10" t="s">
        <v>110</v>
      </c>
      <c r="I20" s="11" t="s">
        <v>324</v>
      </c>
      <c r="J20" s="7" t="s">
        <v>32</v>
      </c>
    </row>
    <row r="22" customFormat="false" ht="32.25" hidden="false" customHeight="true" outlineLevel="0" collapsed="false">
      <c r="A22" s="12" t="s">
        <v>325</v>
      </c>
      <c r="B22" s="12"/>
      <c r="C22" s="12"/>
      <c r="D22" s="12"/>
      <c r="E22" s="12"/>
      <c r="F22" s="12"/>
      <c r="G22" s="12"/>
      <c r="H22" s="12"/>
      <c r="I22" s="12"/>
      <c r="J22" s="12"/>
    </row>
    <row r="24" customFormat="false" ht="16.4" hidden="false" customHeight="false" outlineLevel="0" collapsed="false">
      <c r="A24" s="13" t="s">
        <v>326</v>
      </c>
      <c r="B24" s="0" t="s">
        <v>327</v>
      </c>
      <c r="C24" s="0" t="s">
        <v>328</v>
      </c>
    </row>
    <row r="25" customFormat="false" ht="16.4" hidden="false" customHeight="false" outlineLevel="0" collapsed="false">
      <c r="A25" s="0" t="s">
        <v>299</v>
      </c>
      <c r="B25" s="0" t="n">
        <f aca="false">SUMIF($A$2:$A$20,"第1周",$F$2:$F$20)</f>
        <v>120</v>
      </c>
      <c r="C25" s="0" t="str">
        <f aca="false">IF(B25&lt;=120,"达标","超时")</f>
        <v>达标</v>
      </c>
    </row>
    <row r="26" customFormat="false" ht="16.4" hidden="false" customHeight="false" outlineLevel="0" collapsed="false">
      <c r="A26" s="0" t="s">
        <v>306</v>
      </c>
      <c r="B26" s="0" t="n">
        <f aca="false">SUMIF($A$2:$A$20,"第2周",$F$2:$F$20)</f>
        <v>120</v>
      </c>
      <c r="C26" s="0" t="str">
        <f aca="false">IF(B26&lt;=120,"达标","超时")</f>
        <v>达标</v>
      </c>
    </row>
    <row r="27" customFormat="false" ht="16.4" hidden="false" customHeight="false" outlineLevel="0" collapsed="false">
      <c r="A27" s="0" t="s">
        <v>311</v>
      </c>
      <c r="B27" s="0" t="n">
        <f aca="false">SUMIF($A$2:$A$20,"第3周",$F$2:$F$20)</f>
        <v>120</v>
      </c>
      <c r="C27" s="0" t="str">
        <f aca="false">IF(B27&lt;=120,"达标","超时")</f>
        <v>达标</v>
      </c>
    </row>
    <row r="28" customFormat="false" ht="16.4" hidden="false" customHeight="false" outlineLevel="0" collapsed="false">
      <c r="A28" s="0" t="s">
        <v>316</v>
      </c>
      <c r="B28" s="0" t="n">
        <f aca="false">SUMIF($A$2:$A$20,"第4周",$F$2:$F$20)</f>
        <v>120</v>
      </c>
      <c r="C28" s="0" t="str">
        <f aca="false">IF(B28&lt;=120,"达标","超时")</f>
        <v>达标</v>
      </c>
    </row>
  </sheetData>
  <autoFilter ref="A1:J20"/>
  <mergeCells count="1">
    <mergeCell ref="A22:J22"/>
  </mergeCells>
  <dataValidations count="1">
    <dataValidation allowBlank="false" errorStyle="stop" operator="between" showDropDown="false" showErrorMessage="false" showInputMessage="false" sqref="J2:J20" type="list">
      <formula1>"未开始,资料收集,脚本撰写,已发布,暂缓"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25.47"/>
    <col collapsed="false" customWidth="true" hidden="false" outlineLevel="0" max="3" min="3" style="0" width="10.01"/>
    <col collapsed="false" customWidth="true" hidden="false" outlineLevel="0" max="4" min="4" style="0" width="23.66"/>
    <col collapsed="false" customWidth="true" hidden="false" outlineLevel="0" max="5" min="5" style="0" width="10.01"/>
    <col collapsed="false" customWidth="true" hidden="false" outlineLevel="0" max="6" min="6" style="0" width="9.1"/>
    <col collapsed="false" customWidth="true" hidden="false" outlineLevel="0" max="7" min="7" style="0" width="12.74"/>
    <col collapsed="false" customWidth="true" hidden="false" outlineLevel="0" max="8" min="8" style="0" width="40.03"/>
    <col collapsed="false" customWidth="true" hidden="false" outlineLevel="0" max="9" min="9" style="0" width="16.38"/>
  </cols>
  <sheetData>
    <row r="1" customFormat="false" ht="30" hidden="false" customHeight="true" outlineLevel="0" collapsed="false">
      <c r="A1" s="1" t="s">
        <v>296</v>
      </c>
      <c r="B1" s="1" t="s">
        <v>2</v>
      </c>
      <c r="C1" s="1" t="s">
        <v>1</v>
      </c>
      <c r="D1" s="1" t="s">
        <v>329</v>
      </c>
      <c r="E1" s="1" t="s">
        <v>4</v>
      </c>
      <c r="F1" s="1" t="s">
        <v>5</v>
      </c>
      <c r="G1" s="1" t="s">
        <v>9</v>
      </c>
      <c r="H1" s="1" t="s">
        <v>330</v>
      </c>
      <c r="I1" s="1" t="s">
        <v>331</v>
      </c>
    </row>
    <row r="2" customFormat="false" ht="32.25" hidden="false" customHeight="true" outlineLevel="0" collapsed="false">
      <c r="A2" s="6" t="n">
        <v>26</v>
      </c>
      <c r="B2" s="3" t="s">
        <v>217</v>
      </c>
      <c r="C2" s="6" t="s">
        <v>208</v>
      </c>
      <c r="D2" s="3" t="s">
        <v>218</v>
      </c>
      <c r="E2" s="2" t="s">
        <v>219</v>
      </c>
      <c r="F2" s="4" t="n">
        <v>9</v>
      </c>
      <c r="G2" s="2" t="s">
        <v>222</v>
      </c>
      <c r="H2" s="3" t="s">
        <v>332</v>
      </c>
      <c r="I2" s="6" t="s">
        <v>333</v>
      </c>
    </row>
    <row r="3" customFormat="false" ht="32.25" hidden="false" customHeight="true" outlineLevel="0" collapsed="false">
      <c r="A3" s="6" t="n">
        <v>29</v>
      </c>
      <c r="B3" s="3" t="s">
        <v>240</v>
      </c>
      <c r="C3" s="6" t="s">
        <v>208</v>
      </c>
      <c r="D3" s="3" t="s">
        <v>241</v>
      </c>
      <c r="E3" s="2" t="s">
        <v>242</v>
      </c>
      <c r="F3" s="4" t="n">
        <v>14</v>
      </c>
      <c r="G3" s="2" t="s">
        <v>246</v>
      </c>
      <c r="H3" s="3" t="s">
        <v>334</v>
      </c>
      <c r="I3" s="6" t="s">
        <v>335</v>
      </c>
    </row>
    <row r="4" customFormat="false" ht="19.5" hidden="false" customHeight="true" outlineLevel="0" collapsed="false">
      <c r="A4" s="6" t="n">
        <v>30</v>
      </c>
      <c r="B4" s="3" t="s">
        <v>249</v>
      </c>
      <c r="C4" s="6" t="s">
        <v>208</v>
      </c>
      <c r="D4" s="3" t="s">
        <v>250</v>
      </c>
      <c r="E4" s="2" t="s">
        <v>251</v>
      </c>
      <c r="F4" s="4" t="n">
        <v>3</v>
      </c>
      <c r="G4" s="6" t="s">
        <v>336</v>
      </c>
      <c r="H4" s="3" t="s">
        <v>337</v>
      </c>
      <c r="I4" s="6" t="s">
        <v>338</v>
      </c>
    </row>
    <row r="5" customFormat="false" ht="32.25" hidden="false" customHeight="true" outlineLevel="0" collapsed="false">
      <c r="A5" s="6" t="n">
        <v>32</v>
      </c>
      <c r="B5" s="3" t="s">
        <v>265</v>
      </c>
      <c r="C5" s="6" t="s">
        <v>257</v>
      </c>
      <c r="D5" s="3" t="s">
        <v>266</v>
      </c>
      <c r="E5" s="2" t="s">
        <v>267</v>
      </c>
      <c r="F5" s="4" t="n">
        <v>1</v>
      </c>
      <c r="G5" s="2" t="s">
        <v>270</v>
      </c>
      <c r="H5" s="5" t="s">
        <v>339</v>
      </c>
      <c r="I5" s="6" t="s">
        <v>333</v>
      </c>
    </row>
    <row r="6" customFormat="false" ht="19.5" hidden="false" customHeight="true" outlineLevel="0" collapsed="false">
      <c r="A6" s="6" t="n">
        <v>33</v>
      </c>
      <c r="B6" s="3" t="s">
        <v>273</v>
      </c>
      <c r="C6" s="6" t="s">
        <v>257</v>
      </c>
      <c r="D6" s="3" t="s">
        <v>274</v>
      </c>
      <c r="E6" s="2" t="s">
        <v>275</v>
      </c>
      <c r="F6" s="4" t="n">
        <v>13</v>
      </c>
      <c r="G6" s="6" t="s">
        <v>336</v>
      </c>
      <c r="H6" s="3" t="s">
        <v>340</v>
      </c>
      <c r="I6" s="6" t="s">
        <v>341</v>
      </c>
    </row>
    <row r="8" customFormat="false" ht="32.25" hidden="false" customHeight="true" outlineLevel="0" collapsed="false">
      <c r="A8" s="12" t="s">
        <v>342</v>
      </c>
      <c r="B8" s="12"/>
      <c r="C8" s="12"/>
      <c r="D8" s="12"/>
      <c r="E8" s="12"/>
      <c r="F8" s="12"/>
      <c r="G8" s="12"/>
      <c r="H8" s="12"/>
      <c r="I8" s="12"/>
    </row>
  </sheetData>
  <autoFilter ref="A1:I6"/>
  <mergeCells count="1">
    <mergeCell ref="A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27.3"/>
    <col collapsed="false" customWidth="true" hidden="false" outlineLevel="0" max="4" min="3" style="0" width="10.01"/>
    <col collapsed="false" customWidth="true" hidden="false" outlineLevel="0" max="5" min="5" style="0" width="9.1"/>
    <col collapsed="false" customWidth="true" hidden="false" outlineLevel="0" max="6" min="6" style="0" width="45.49"/>
    <col collapsed="false" customWidth="true" hidden="false" outlineLevel="0" max="7" min="7" style="0" width="27.3"/>
  </cols>
  <sheetData>
    <row r="1" customFormat="false" ht="30" hidden="false" customHeight="true" outlineLevel="0" collapsed="false">
      <c r="A1" s="1" t="s">
        <v>296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343</v>
      </c>
      <c r="G1" s="1" t="s">
        <v>344</v>
      </c>
    </row>
    <row r="2" customFormat="false" ht="32.25" hidden="false" customHeight="true" outlineLevel="0" collapsed="false">
      <c r="A2" s="6" t="n">
        <v>5</v>
      </c>
      <c r="B2" s="3" t="s">
        <v>57</v>
      </c>
      <c r="C2" s="6" t="s">
        <v>21</v>
      </c>
      <c r="D2" s="2" t="s">
        <v>59</v>
      </c>
      <c r="E2" s="4" t="n">
        <v>4</v>
      </c>
      <c r="F2" s="3" t="s">
        <v>345</v>
      </c>
      <c r="G2" s="3" t="s">
        <v>346</v>
      </c>
    </row>
    <row r="3" customFormat="false" ht="32.25" hidden="false" customHeight="true" outlineLevel="0" collapsed="false">
      <c r="A3" s="6" t="n">
        <v>10</v>
      </c>
      <c r="B3" s="3" t="s">
        <v>98</v>
      </c>
      <c r="C3" s="6" t="s">
        <v>21</v>
      </c>
      <c r="D3" s="2" t="s">
        <v>100</v>
      </c>
      <c r="E3" s="4" t="n">
        <v>16</v>
      </c>
      <c r="F3" s="3" t="s">
        <v>347</v>
      </c>
      <c r="G3" s="3" t="s">
        <v>346</v>
      </c>
    </row>
    <row r="4" customFormat="false" ht="19.5" hidden="false" customHeight="true" outlineLevel="0" collapsed="false">
      <c r="A4" s="6" t="n">
        <v>13</v>
      </c>
      <c r="B4" s="3" t="s">
        <v>121</v>
      </c>
      <c r="C4" s="6" t="s">
        <v>21</v>
      </c>
      <c r="D4" s="2" t="s">
        <v>123</v>
      </c>
      <c r="E4" s="4" t="n">
        <v>8</v>
      </c>
      <c r="F4" s="3" t="s">
        <v>348</v>
      </c>
      <c r="G4" s="3" t="s">
        <v>346</v>
      </c>
    </row>
    <row r="5" customFormat="false" ht="19.5" hidden="false" customHeight="true" outlineLevel="0" collapsed="false">
      <c r="A5" s="6" t="n">
        <v>14</v>
      </c>
      <c r="B5" s="3" t="s">
        <v>128</v>
      </c>
      <c r="C5" s="6" t="s">
        <v>21</v>
      </c>
      <c r="D5" s="2" t="s">
        <v>130</v>
      </c>
      <c r="E5" s="4" t="n">
        <v>2</v>
      </c>
      <c r="F5" s="3" t="s">
        <v>349</v>
      </c>
      <c r="G5" s="3" t="s">
        <v>346</v>
      </c>
    </row>
    <row r="6" customFormat="false" ht="19.5" hidden="false" customHeight="true" outlineLevel="0" collapsed="false">
      <c r="A6" s="6" t="n">
        <v>16</v>
      </c>
      <c r="B6" s="3" t="s">
        <v>141</v>
      </c>
      <c r="C6" s="6" t="s">
        <v>21</v>
      </c>
      <c r="D6" s="2" t="s">
        <v>143</v>
      </c>
      <c r="E6" s="4" t="n">
        <v>4</v>
      </c>
      <c r="F6" s="3" t="s">
        <v>350</v>
      </c>
      <c r="G6" s="3" t="s">
        <v>346</v>
      </c>
    </row>
    <row r="7" customFormat="false" ht="19.5" hidden="false" customHeight="true" outlineLevel="0" collapsed="false">
      <c r="A7" s="6" t="n">
        <v>17</v>
      </c>
      <c r="B7" s="3" t="s">
        <v>148</v>
      </c>
      <c r="C7" s="6" t="s">
        <v>21</v>
      </c>
      <c r="D7" s="2" t="s">
        <v>150</v>
      </c>
      <c r="E7" s="4" t="n">
        <v>14</v>
      </c>
      <c r="F7" s="3" t="s">
        <v>351</v>
      </c>
      <c r="G7" s="3" t="s">
        <v>346</v>
      </c>
    </row>
    <row r="8" customFormat="false" ht="19.5" hidden="false" customHeight="true" outlineLevel="0" collapsed="false">
      <c r="A8" s="6" t="n">
        <v>18</v>
      </c>
      <c r="B8" s="3" t="s">
        <v>156</v>
      </c>
      <c r="C8" s="6" t="s">
        <v>21</v>
      </c>
      <c r="D8" s="2" t="s">
        <v>158</v>
      </c>
      <c r="E8" s="4" t="n">
        <v>11</v>
      </c>
      <c r="F8" s="3" t="s">
        <v>352</v>
      </c>
      <c r="G8" s="3" t="s">
        <v>346</v>
      </c>
    </row>
    <row r="9" customFormat="false" ht="19.5" hidden="false" customHeight="true" outlineLevel="0" collapsed="false">
      <c r="A9" s="6" t="n">
        <v>20</v>
      </c>
      <c r="B9" s="3" t="s">
        <v>171</v>
      </c>
      <c r="C9" s="6" t="s">
        <v>170</v>
      </c>
      <c r="D9" s="2" t="s">
        <v>173</v>
      </c>
      <c r="E9" s="4" t="n">
        <v>14</v>
      </c>
      <c r="F9" s="3" t="s">
        <v>353</v>
      </c>
      <c r="G9" s="3" t="s">
        <v>346</v>
      </c>
    </row>
    <row r="10" customFormat="false" ht="32.25" hidden="false" customHeight="true" outlineLevel="0" collapsed="false">
      <c r="A10" s="6" t="n">
        <v>21</v>
      </c>
      <c r="B10" s="3" t="s">
        <v>179</v>
      </c>
      <c r="C10" s="6" t="s">
        <v>170</v>
      </c>
      <c r="D10" s="2" t="s">
        <v>181</v>
      </c>
      <c r="E10" s="4" t="n">
        <v>13</v>
      </c>
      <c r="F10" s="3" t="s">
        <v>354</v>
      </c>
      <c r="G10" s="3" t="s">
        <v>346</v>
      </c>
    </row>
    <row r="11" customFormat="false" ht="32.25" hidden="false" customHeight="true" outlineLevel="0" collapsed="false">
      <c r="A11" s="6" t="n">
        <v>22</v>
      </c>
      <c r="B11" s="3" t="s">
        <v>187</v>
      </c>
      <c r="C11" s="6" t="s">
        <v>170</v>
      </c>
      <c r="D11" s="2" t="s">
        <v>189</v>
      </c>
      <c r="E11" s="4" t="n">
        <v>15</v>
      </c>
      <c r="F11" s="3" t="s">
        <v>355</v>
      </c>
      <c r="G11" s="3" t="s">
        <v>346</v>
      </c>
    </row>
    <row r="12" customFormat="false" ht="19.5" hidden="false" customHeight="true" outlineLevel="0" collapsed="false">
      <c r="A12" s="6" t="n">
        <v>23</v>
      </c>
      <c r="B12" s="3" t="s">
        <v>194</v>
      </c>
      <c r="C12" s="6" t="s">
        <v>170</v>
      </c>
      <c r="D12" s="2" t="s">
        <v>196</v>
      </c>
      <c r="E12" s="4" t="n">
        <v>19</v>
      </c>
      <c r="F12" s="3" t="s">
        <v>356</v>
      </c>
      <c r="G12" s="3" t="s">
        <v>346</v>
      </c>
    </row>
    <row r="13" customFormat="false" ht="19.5" hidden="false" customHeight="true" outlineLevel="0" collapsed="false">
      <c r="A13" s="6" t="n">
        <v>24</v>
      </c>
      <c r="B13" s="3" t="s">
        <v>201</v>
      </c>
      <c r="C13" s="6" t="s">
        <v>170</v>
      </c>
      <c r="D13" s="2" t="s">
        <v>203</v>
      </c>
      <c r="E13" s="4" t="n">
        <v>6</v>
      </c>
      <c r="F13" s="3" t="s">
        <v>357</v>
      </c>
      <c r="G13" s="3" t="s">
        <v>346</v>
      </c>
    </row>
    <row r="14" customFormat="false" ht="19.5" hidden="false" customHeight="true" outlineLevel="0" collapsed="false">
      <c r="A14" s="6" t="n">
        <v>25</v>
      </c>
      <c r="B14" s="3" t="s">
        <v>209</v>
      </c>
      <c r="C14" s="6" t="s">
        <v>208</v>
      </c>
      <c r="D14" s="2" t="s">
        <v>211</v>
      </c>
      <c r="E14" s="4" t="n">
        <v>6</v>
      </c>
      <c r="F14" s="3" t="s">
        <v>358</v>
      </c>
      <c r="G14" s="3" t="s">
        <v>346</v>
      </c>
    </row>
    <row r="15" customFormat="false" ht="19.5" hidden="false" customHeight="true" outlineLevel="0" collapsed="false">
      <c r="A15" s="6" t="n">
        <v>26</v>
      </c>
      <c r="B15" s="3" t="s">
        <v>217</v>
      </c>
      <c r="C15" s="6" t="s">
        <v>208</v>
      </c>
      <c r="D15" s="2" t="s">
        <v>219</v>
      </c>
      <c r="E15" s="4" t="n">
        <v>9</v>
      </c>
      <c r="F15" s="3" t="s">
        <v>359</v>
      </c>
      <c r="G15" s="3" t="s">
        <v>360</v>
      </c>
    </row>
    <row r="16" customFormat="false" ht="19.5" hidden="false" customHeight="true" outlineLevel="0" collapsed="false">
      <c r="A16" s="6" t="n">
        <v>27</v>
      </c>
      <c r="B16" s="3" t="s">
        <v>226</v>
      </c>
      <c r="C16" s="6" t="s">
        <v>208</v>
      </c>
      <c r="D16" s="2" t="s">
        <v>228</v>
      </c>
      <c r="E16" s="4" t="n">
        <v>8</v>
      </c>
      <c r="F16" s="3" t="s">
        <v>361</v>
      </c>
      <c r="G16" s="3" t="s">
        <v>346</v>
      </c>
    </row>
    <row r="17" customFormat="false" ht="19.5" hidden="false" customHeight="true" outlineLevel="0" collapsed="false">
      <c r="A17" s="6" t="n">
        <v>28</v>
      </c>
      <c r="B17" s="3" t="s">
        <v>232</v>
      </c>
      <c r="C17" s="6" t="s">
        <v>208</v>
      </c>
      <c r="D17" s="2" t="s">
        <v>234</v>
      </c>
      <c r="E17" s="4" t="n">
        <v>18</v>
      </c>
      <c r="F17" s="3" t="s">
        <v>362</v>
      </c>
      <c r="G17" s="3" t="s">
        <v>346</v>
      </c>
    </row>
    <row r="18" customFormat="false" ht="19.5" hidden="false" customHeight="true" outlineLevel="0" collapsed="false">
      <c r="A18" s="6" t="n">
        <v>30</v>
      </c>
      <c r="B18" s="3" t="s">
        <v>249</v>
      </c>
      <c r="C18" s="6" t="s">
        <v>208</v>
      </c>
      <c r="D18" s="2" t="s">
        <v>251</v>
      </c>
      <c r="E18" s="4" t="n">
        <v>3</v>
      </c>
      <c r="F18" s="3" t="s">
        <v>363</v>
      </c>
      <c r="G18" s="3" t="s">
        <v>360</v>
      </c>
    </row>
    <row r="19" customFormat="false" ht="32.25" hidden="false" customHeight="true" outlineLevel="0" collapsed="false">
      <c r="A19" s="6" t="n">
        <v>31</v>
      </c>
      <c r="B19" s="3" t="s">
        <v>258</v>
      </c>
      <c r="C19" s="6" t="s">
        <v>257</v>
      </c>
      <c r="D19" s="2" t="s">
        <v>260</v>
      </c>
      <c r="E19" s="4" t="n">
        <v>12</v>
      </c>
      <c r="F19" s="3" t="s">
        <v>364</v>
      </c>
      <c r="G19" s="3" t="s">
        <v>346</v>
      </c>
    </row>
    <row r="20" customFormat="false" ht="32.25" hidden="false" customHeight="true" outlineLevel="0" collapsed="false">
      <c r="A20" s="6" t="n">
        <v>33</v>
      </c>
      <c r="B20" s="3" t="s">
        <v>273</v>
      </c>
      <c r="C20" s="6" t="s">
        <v>257</v>
      </c>
      <c r="D20" s="2" t="s">
        <v>275</v>
      </c>
      <c r="E20" s="4" t="n">
        <v>13</v>
      </c>
      <c r="F20" s="3" t="s">
        <v>365</v>
      </c>
      <c r="G20" s="3" t="s">
        <v>360</v>
      </c>
    </row>
    <row r="21" customFormat="false" ht="19.5" hidden="false" customHeight="true" outlineLevel="0" collapsed="false">
      <c r="A21" s="6" t="n">
        <v>34</v>
      </c>
      <c r="B21" s="3" t="s">
        <v>280</v>
      </c>
      <c r="C21" s="6" t="s">
        <v>257</v>
      </c>
      <c r="D21" s="2" t="s">
        <v>282</v>
      </c>
      <c r="E21" s="4" t="n">
        <v>5</v>
      </c>
      <c r="F21" s="3" t="s">
        <v>366</v>
      </c>
      <c r="G21" s="3" t="s">
        <v>346</v>
      </c>
    </row>
    <row r="22" customFormat="false" ht="32.25" hidden="false" customHeight="true" outlineLevel="0" collapsed="false">
      <c r="A22" s="6" t="n">
        <v>35</v>
      </c>
      <c r="B22" s="3" t="s">
        <v>287</v>
      </c>
      <c r="C22" s="6" t="s">
        <v>257</v>
      </c>
      <c r="D22" s="2" t="s">
        <v>289</v>
      </c>
      <c r="E22" s="4" t="n">
        <v>5</v>
      </c>
      <c r="F22" s="3" t="s">
        <v>367</v>
      </c>
      <c r="G22" s="3" t="s">
        <v>346</v>
      </c>
    </row>
    <row r="24" customFormat="false" ht="32.25" hidden="false" customHeight="true" outlineLevel="0" collapsed="false">
      <c r="A24" s="12" t="s">
        <v>368</v>
      </c>
      <c r="B24" s="12"/>
      <c r="C24" s="12"/>
      <c r="D24" s="12"/>
      <c r="E24" s="12"/>
      <c r="F24" s="12"/>
      <c r="G24" s="12"/>
    </row>
  </sheetData>
  <autoFilter ref="A1:G22"/>
  <mergeCells count="1"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90.98"/>
  </cols>
  <sheetData>
    <row r="1" customFormat="false" ht="17.35" hidden="false" customHeight="false" outlineLevel="0" collapsed="false">
      <c r="A1" s="14" t="s">
        <v>369</v>
      </c>
    </row>
    <row r="3" customFormat="false" ht="32.25" hidden="false" customHeight="true" outlineLevel="0" collapsed="false">
      <c r="A3" s="15" t="s">
        <v>370</v>
      </c>
      <c r="B3" s="16" t="s">
        <v>371</v>
      </c>
    </row>
    <row r="4" customFormat="false" ht="45.75" hidden="false" customHeight="true" outlineLevel="0" collapsed="false">
      <c r="A4" s="15" t="s">
        <v>372</v>
      </c>
      <c r="B4" s="17" t="s">
        <v>373</v>
      </c>
    </row>
    <row r="5" customFormat="false" ht="45.75" hidden="false" customHeight="true" outlineLevel="0" collapsed="false">
      <c r="A5" s="15" t="s">
        <v>374</v>
      </c>
      <c r="B5" s="17" t="s">
        <v>375</v>
      </c>
    </row>
    <row r="6" customFormat="false" ht="18.75" hidden="false" customHeight="true" outlineLevel="0" collapsed="false">
      <c r="A6" s="15" t="s">
        <v>376</v>
      </c>
      <c r="B6" s="17" t="s">
        <v>377</v>
      </c>
    </row>
    <row r="7" customFormat="false" ht="18.75" hidden="false" customHeight="true" outlineLevel="0" collapsed="false">
      <c r="A7" s="15" t="s">
        <v>378</v>
      </c>
      <c r="B7" s="17" t="s">
        <v>379</v>
      </c>
    </row>
    <row r="8" customFormat="false" ht="18.75" hidden="false" customHeight="true" outlineLevel="0" collapsed="false">
      <c r="A8" s="15" t="s">
        <v>380</v>
      </c>
      <c r="B8" s="16" t="s">
        <v>381</v>
      </c>
    </row>
    <row r="9" customFormat="false" ht="45.75" hidden="false" customHeight="true" outlineLevel="0" collapsed="false">
      <c r="A9" s="15" t="s">
        <v>382</v>
      </c>
      <c r="B9" s="16" t="s">
        <v>383</v>
      </c>
    </row>
    <row r="10" customFormat="false" ht="18.75" hidden="false" customHeight="true" outlineLevel="0" collapsed="false">
      <c r="A10" s="15" t="s">
        <v>384</v>
      </c>
      <c r="B10" s="16" t="s">
        <v>385</v>
      </c>
    </row>
    <row r="11" customFormat="false" ht="18.75" hidden="false" customHeight="true" outlineLevel="0" collapsed="false">
      <c r="A11" s="15" t="s">
        <v>386</v>
      </c>
      <c r="B11" s="16" t="s">
        <v>387</v>
      </c>
    </row>
    <row r="12" customFormat="false" ht="32.25" hidden="false" customHeight="true" outlineLevel="0" collapsed="false">
      <c r="A12" s="15" t="s">
        <v>388</v>
      </c>
      <c r="B12" s="17" t="s">
        <v>389</v>
      </c>
    </row>
    <row r="13" customFormat="false" ht="65" hidden="false" customHeight="1" outlineLevel="0" collapsed="false">
      <c r="A13" s="15" t="s">
        <v>11</v>
      </c>
      <c r="B13" s="17" t="s">
        <v>390</v>
      </c>
    </row>
    <row r="14" customFormat="false" ht="32.25" hidden="false" customHeight="true" outlineLevel="0" collapsed="false">
      <c r="A14" s="15" t="s">
        <v>391</v>
      </c>
      <c r="B14" s="17" t="s">
        <v>392</v>
      </c>
    </row>
    <row r="15" customFormat="false" ht="45.75" hidden="false" customHeight="true" outlineLevel="0" collapsed="false">
      <c r="A15" s="15" t="s">
        <v>393</v>
      </c>
      <c r="B15" s="17" t="s">
        <v>394</v>
      </c>
    </row>
    <row r="16" customFormat="false" ht="18.75" hidden="false" customHeight="true" outlineLevel="0" collapsed="false">
      <c r="A16" s="15" t="s">
        <v>395</v>
      </c>
      <c r="B16" s="17" t="s">
        <v>396</v>
      </c>
    </row>
    <row r="17" customFormat="false" ht="32.25" hidden="false" customHeight="true" outlineLevel="0" collapsed="false">
      <c r="A17" s="15" t="s">
        <v>397</v>
      </c>
      <c r="B17" s="17" t="s">
        <v>398</v>
      </c>
    </row>
    <row r="18" customFormat="false" ht="32.25" hidden="false" customHeight="true" outlineLevel="0" collapsed="false">
      <c r="A18" s="15" t="s">
        <v>399</v>
      </c>
      <c r="B18" s="17" t="s">
        <v>400</v>
      </c>
    </row>
    <row r="20" customFormat="false" ht="15" hidden="false" customHeight="false" outlineLevel="0" collapsed="false">
      <c r="A20" s="13" t="s">
        <v>401</v>
      </c>
    </row>
    <row r="21" customFormat="false" ht="15" hidden="false" customHeight="false" outlineLevel="0" collapsed="false">
      <c r="A21" s="0" t="s">
        <v>402</v>
      </c>
      <c r="B21" s="18" t="n">
        <f aca="false">COUNTA(选题库!C2:C36)</f>
        <v>35</v>
      </c>
    </row>
    <row r="22" customFormat="false" ht="15" hidden="false" customHeight="false" outlineLevel="0" collapsed="false">
      <c r="A22" s="0" t="s">
        <v>403</v>
      </c>
      <c r="B22" s="18" t="n">
        <f aca="false">COUNTIF(选题库!L2:L36,"已核对")</f>
        <v>14</v>
      </c>
    </row>
    <row r="23" customFormat="false" ht="15" hidden="false" customHeight="false" outlineLevel="0" collapsed="false">
      <c r="A23" s="0" t="s">
        <v>404</v>
      </c>
      <c r="B23" s="18" t="n">
        <f aca="false">COUNTIF(选题库!L2:L36,"待核验")</f>
        <v>21</v>
      </c>
    </row>
    <row r="24" customFormat="false" ht="15" hidden="false" customHeight="false" outlineLevel="0" collapsed="false">
      <c r="A24" s="0" t="s">
        <v>405</v>
      </c>
      <c r="B24" s="18" t="n">
        <f aca="false">COUNTIF(选题库!U2:U36,"是")</f>
        <v>5</v>
      </c>
    </row>
    <row r="25" customFormat="false" ht="15" hidden="false" customHeight="false" outlineLevel="0" collapsed="false">
      <c r="A25" s="0" t="s">
        <v>406</v>
      </c>
      <c r="B25" s="18" t="n">
        <f aca="false">SUM(选题库!F2:F36)</f>
        <v>353</v>
      </c>
    </row>
    <row r="26" customFormat="false" ht="15" hidden="false" customHeight="false" outlineLevel="0" collapsed="false">
      <c r="A26" s="0" t="s">
        <v>407</v>
      </c>
      <c r="B26" s="18" t="n">
        <f aca="false">AVERAGE(选题库!R2:R36)</f>
        <v>2.45714285714286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2026-11-01T17:57:43Z</dcterms:created>
  <dc:creator>openpyxl</dc:creator>
  <dc:description/>
  <dc:language>zh-CN</dc:language>
  <cp:lastModifiedBy/>
  <dcterms:modified xsi:type="dcterms:W3CDTF">2026-11-01T17:57:43Z</dcterms:modified>
  <cp:revision>0</cp:revision>
  <dc:subject/>
  <dc:title>高血压科普选题库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{"Label":"1","ContentProducer":"00119111010856365494821B355","ProduceID":"78b5a80e877a4d9f8d040b95c95f13e2","ContentPropagator":"00119111010856365494821B355","PropagateID":"78b5a80e877a4d9f8d040b95c95f13e2"}</vt:lpwstr>
  </property>
</Properties>
</file>