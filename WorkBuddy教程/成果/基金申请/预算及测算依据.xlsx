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与测算" sheetId="1" state="visible" r:id="rId1"/>
    <sheet xmlns:r="http://schemas.openxmlformats.org/officeDocument/2006/relationships" name="规模联动测算" sheetId="2" state="visible" r:id="rId2"/>
    <sheet xmlns:r="http://schemas.openxmlformats.org/officeDocument/2006/relationships" name="说明与假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9">
    <font>
      <name val="Calibri"/>
      <family val="2"/>
      <color theme="1"/>
      <sz val="11"/>
      <scheme val="minor"/>
    </font>
    <font>
      <name val="PingFang SC"/>
      <b val="1"/>
      <color rgb="001A1A1A"/>
      <sz val="14"/>
    </font>
    <font>
      <name val="PingFang SC"/>
      <color rgb="00C00000"/>
      <sz val="10"/>
    </font>
    <font>
      <name val="PingFang SC"/>
      <b val="1"/>
      <color rgb="004472C4"/>
      <sz val="12"/>
    </font>
    <font>
      <name val="PingFang SC"/>
      <sz val="11"/>
    </font>
    <font>
      <name val="PingFang SC"/>
      <color rgb="00555555"/>
      <sz val="10"/>
    </font>
    <font>
      <name val="PingFang SC"/>
      <b val="1"/>
      <color rgb="00FFFFFF"/>
      <sz val="11"/>
    </font>
    <font>
      <name val="PingFang SC"/>
      <b val="1"/>
      <sz val="11"/>
    </font>
    <font>
      <name val="PingFang SC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9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7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46" customWidth="1" min="9" max="9"/>
    <col width="12" customWidth="1" min="10" max="10"/>
  </cols>
  <sheetData>
    <row r="1">
      <c r="A1" s="1" t="inlineStr">
        <is>
          <t>社区老年高血压患者家庭血压自测支持 RCT（12 个月）预算及测算依据</t>
        </is>
      </c>
    </row>
    <row r="2" ht="30" customHeight="1">
      <c r="A2" s="2" t="inlineStr">
        <is>
          <t>状态声明：本预算全部为规划假设（资料类型：虚构项目申报条件）。设备单价、人力成本、招募能力均【待确认】，设备询价与规模锁定后须重算。经费上限 10 万元。</t>
        </is>
      </c>
    </row>
    <row r="4">
      <c r="A4" s="3" t="inlineStr">
        <is>
          <t>一、输入假设（测算基准，均为规划假设）</t>
        </is>
      </c>
    </row>
    <row r="5" ht="22" customHeight="1">
      <c r="A5" s="4" t="inlineStr">
        <is>
          <t>总样本量（例，测算基准）</t>
        </is>
      </c>
      <c r="C5" s="5" t="n">
        <v>336</v>
      </c>
      <c r="D5" s="6" t="inlineStr">
        <is>
          <t>对应样本量敏感性矩阵 δ=5/SD=15 或 δ=4/SD=12 组合；δ 与 SD 均为待确认参数，规模未锁定</t>
        </is>
      </c>
    </row>
    <row r="6" ht="22" customHeight="1">
      <c r="A6" s="4" t="inlineStr">
        <is>
          <t>干预组例数（例）</t>
        </is>
      </c>
      <c r="C6" s="5">
        <f>ROUND(C5/2,0)</f>
        <v>168.0</v>
      </c>
      <c r="D6" s="6" t="inlineStr">
        <is>
          <t>1:1 分组；由总样本量推导</t>
        </is>
      </c>
    </row>
    <row r="7" ht="22" customHeight="1">
      <c r="A7" s="4" t="inlineStr">
        <is>
          <t>对照组例数（例）</t>
        </is>
      </c>
      <c r="C7" s="5">
        <f>C5-C6</f>
        <v>168.0</v>
      </c>
      <c r="D7" s="6" t="inlineStr">
        <is>
          <t>由总样本量与干预组推导</t>
        </is>
      </c>
    </row>
    <row r="8" ht="22" customHeight="1">
      <c r="A8" s="4" t="inlineStr">
        <is>
          <t>备机比例</t>
        </is>
      </c>
      <c r="C8" s="7" t="n">
        <v>0.05</v>
      </c>
      <c r="D8" s="6" t="inlineStr">
        <is>
          <t>备用设备管理方案；规划假设</t>
        </is>
      </c>
    </row>
    <row r="9" ht="22" customHeight="1">
      <c r="A9" s="4" t="inlineStr">
        <is>
          <t>血压计单价（元/台）</t>
        </is>
      </c>
      <c r="C9" s="5" t="n">
        <v>220</v>
      </c>
      <c r="D9" s="6" t="inlineStr">
        <is>
          <t>经验证上臂式自动血压计；【待询价】</t>
        </is>
      </c>
    </row>
    <row r="10" ht="22" customHeight="1">
      <c r="A10" s="4" t="inlineStr">
        <is>
          <t>不可预见费率</t>
        </is>
      </c>
      <c r="C10" s="7" t="n">
        <v>0.05</v>
      </c>
      <c r="D10" s="6" t="inlineStr">
        <is>
          <t>规划假设</t>
        </is>
      </c>
    </row>
    <row r="11" ht="22" customHeight="1">
      <c r="A11" s="4" t="inlineStr">
        <is>
          <t>经费上限（元）</t>
        </is>
      </c>
      <c r="C11" s="8" t="n">
        <v>100000</v>
      </c>
      <c r="D11" s="6" t="inlineStr">
        <is>
          <t>按基金申报要求，上限 10 万元（规划假设）</t>
        </is>
      </c>
    </row>
    <row r="13">
      <c r="A13" s="3" t="inlineStr">
        <is>
          <t>二、分项预算与测算依据</t>
        </is>
      </c>
    </row>
    <row r="14">
      <c r="A14" s="9" t="inlineStr">
        <is>
          <t>序号</t>
        </is>
      </c>
      <c r="B14" s="9" t="inlineStr">
        <is>
          <t>科目</t>
        </is>
      </c>
      <c r="C14" s="9" t="inlineStr">
        <is>
          <t>内容与用途</t>
        </is>
      </c>
      <c r="D14" s="9" t="inlineStr">
        <is>
          <t>联动类型</t>
        </is>
      </c>
      <c r="E14" s="9" t="inlineStr">
        <is>
          <t>折算系数</t>
        </is>
      </c>
      <c r="F14" s="9" t="inlineStr">
        <is>
          <t>数量</t>
        </is>
      </c>
      <c r="G14" s="9" t="inlineStr">
        <is>
          <t>单价（元）</t>
        </is>
      </c>
      <c r="H14" s="9" t="inlineStr">
        <is>
          <t>金额（元）</t>
        </is>
      </c>
      <c r="I14" s="9" t="inlineStr">
        <is>
          <t>测算依据与状态</t>
        </is>
      </c>
      <c r="J14" s="9" t="inlineStr">
        <is>
          <t>单位例数金额</t>
        </is>
      </c>
    </row>
    <row r="15" ht="26" customHeight="1">
      <c r="A15" s="10" t="n">
        <v>1</v>
      </c>
      <c r="B15" s="11" t="inlineStr">
        <is>
          <t>设备费</t>
        </is>
      </c>
      <c r="C15" s="11" t="inlineStr">
        <is>
          <t>干预组经验证上臂式自动血压计（含备机）</t>
        </is>
      </c>
      <c r="D15" s="12" t="inlineStr">
        <is>
          <t>干预例数</t>
        </is>
      </c>
      <c r="E15" s="13">
        <v>1.05</v>
        <f>1+$C$8</f>
      </c>
      <c r="F15" s="14">
        <f>ROUND($C$6*E15,0)</f>
        <v>176.0</v>
      </c>
      <c r="G15" s="15">
        <f>$C$9</f>
        <v>220.0</v>
      </c>
      <c r="H15" s="16">
        <f>IF(OR(F15="",G15=""),"",F15*G15)</f>
        <v>38720.0</v>
      </c>
      <c r="I15" s="17" t="inlineStr">
        <is>
          <t>台数=干预例数×(1+备机比例 5%)；单价【待询价】；规划假设</t>
        </is>
      </c>
      <c r="J15" s="16">
        <f>IF(D15="固定",H15,E15*G15)</f>
        <v>231.0</v>
      </c>
    </row>
    <row r="16" ht="26" customHeight="1">
      <c r="A16" s="10" t="n">
        <v>2</v>
      </c>
      <c r="B16" s="11" t="inlineStr">
        <is>
          <t>设备费</t>
        </is>
      </c>
      <c r="C16" s="11" t="inlineStr">
        <is>
          <t>两社区诊室血压计定期校准（2 台×2 次）</t>
        </is>
      </c>
      <c r="D16" s="12" t="inlineStr">
        <is>
          <t>固定</t>
        </is>
      </c>
      <c r="E16" s="13" t="n">
        <v>1</v>
      </c>
      <c r="F16" s="14" t="n">
        <v>4</v>
      </c>
      <c r="G16" s="15" t="n">
        <v>200</v>
      </c>
      <c r="H16" s="16">
        <f>IF(OR(F16="",G16=""),"",F16*G16)</f>
        <v>800.0</v>
      </c>
      <c r="I16" s="17" t="inlineStr">
        <is>
          <t>校准频次与费用【待确认】；规划假设</t>
        </is>
      </c>
      <c r="J16" s="16">
        <f>IF(D16="固定",H16,E16*G16)</f>
        <v>800.0</v>
      </c>
    </row>
    <row r="17" ht="26" customHeight="1">
      <c r="A17" s="10" t="n">
        <v>3</v>
      </c>
      <c r="B17" s="11" t="inlineStr">
        <is>
          <t>材料费</t>
        </is>
      </c>
      <c r="C17" s="11" t="inlineStr">
        <is>
          <t>干预组备用袖带、电池等耗材</t>
        </is>
      </c>
      <c r="D17" s="12" t="inlineStr">
        <is>
          <t>干预例数</t>
        </is>
      </c>
      <c r="E17" s="13" t="n">
        <v>1</v>
      </c>
      <c r="F17" s="14">
        <f>ROUND($C$6*E17,0)</f>
        <v>168.0</v>
      </c>
      <c r="G17" s="15" t="n">
        <v>20</v>
      </c>
      <c r="H17" s="16">
        <f>IF(OR(F17="",G17=""),"",F17*G17)</f>
        <v>3360.0</v>
      </c>
      <c r="I17" s="17" t="inlineStr">
        <is>
          <t>每例约 20 元耗材；规划假设</t>
        </is>
      </c>
      <c r="J17" s="16">
        <f>IF(D17="固定",H17,E17*G17)</f>
        <v>20.0</v>
      </c>
    </row>
    <row r="18" ht="26" customHeight="1">
      <c r="A18" s="10" t="n">
        <v>4</v>
      </c>
      <c r="B18" s="11" t="inlineStr">
        <is>
          <t>材料费</t>
        </is>
      </c>
      <c r="C18" s="11" t="inlineStr">
        <is>
          <t>家庭测量记录本与文具</t>
        </is>
      </c>
      <c r="D18" s="12" t="inlineStr">
        <is>
          <t>总例数</t>
        </is>
      </c>
      <c r="E18" s="13" t="n">
        <v>1</v>
      </c>
      <c r="F18" s="14">
        <f>ROUND($C$5*E18,0)</f>
        <v>336.0</v>
      </c>
      <c r="G18" s="15" t="n">
        <v>8</v>
      </c>
      <c r="H18" s="16">
        <f>IF(OR(F18="",G18=""),"",F18*G18)</f>
        <v>2688.0</v>
      </c>
      <c r="I18" s="17" t="inlineStr">
        <is>
          <t>每例 1 册记录本；规划假设</t>
        </is>
      </c>
      <c r="J18" s="16">
        <f>IF(D18="固定",H18,E18*G18)</f>
        <v>8.0</v>
      </c>
    </row>
    <row r="19" ht="26" customHeight="1">
      <c r="A19" s="10" t="n">
        <v>5</v>
      </c>
      <c r="B19" s="11" t="inlineStr">
        <is>
          <t>材料费</t>
        </is>
      </c>
      <c r="C19" s="11" t="inlineStr">
        <is>
          <t>知情同意书、SOP、培训手册印刷</t>
        </is>
      </c>
      <c r="D19" s="12" t="inlineStr">
        <is>
          <t>固定</t>
        </is>
      </c>
      <c r="E19" s="13" t="n">
        <v>1</v>
      </c>
      <c r="F19" s="14" t="n">
        <v>1</v>
      </c>
      <c r="G19" s="15" t="n">
        <v>2000</v>
      </c>
      <c r="H19" s="16">
        <f>IF(OR(F19="",G19=""),"",F19*G19)</f>
        <v>2000.0</v>
      </c>
      <c r="I19" s="17" t="inlineStr">
        <is>
          <t>按一版印刷估算；规划假设</t>
        </is>
      </c>
      <c r="J19" s="16">
        <f>IF(D19="固定",H19,E19*G19)</f>
        <v>2000.0</v>
      </c>
    </row>
    <row r="20" ht="26" customHeight="1">
      <c r="A20" s="10" t="n">
        <v>6</v>
      </c>
      <c r="B20" s="11" t="inlineStr">
        <is>
          <t>劳务费</t>
        </is>
      </c>
      <c r="C20" s="11" t="inlineStr">
        <is>
          <t>社区协调员补贴（2 人×12 个月×600 元/月）</t>
        </is>
      </c>
      <c r="D20" s="12" t="inlineStr">
        <is>
          <t>固定</t>
        </is>
      </c>
      <c r="E20" s="13" t="n">
        <v>1</v>
      </c>
      <c r="F20" s="14" t="n">
        <v>24</v>
      </c>
      <c r="G20" s="15" t="n">
        <v>600</v>
      </c>
      <c r="H20" s="16">
        <f>IF(OR(F20="",G20=""),"",F20*G20)</f>
        <v>14400.0</v>
      </c>
      <c r="I20" s="17" t="inlineStr">
        <is>
          <t>24 人月；人力成本标准【待确认】；规划假设</t>
        </is>
      </c>
      <c r="J20" s="16">
        <f>IF(D20="固定",H20,E20*G20)</f>
        <v>14400.0</v>
      </c>
    </row>
    <row r="21" ht="26" customHeight="1">
      <c r="A21" s="10" t="n">
        <v>7</v>
      </c>
      <c r="B21" s="11" t="inlineStr">
        <is>
          <t>劳务费</t>
        </is>
      </c>
      <c r="C21" s="11" t="inlineStr">
        <is>
          <t>随访访视劳务（每例 2 次：第 3、6 个月）</t>
        </is>
      </c>
      <c r="D21" s="12" t="inlineStr">
        <is>
          <t>总例数</t>
        </is>
      </c>
      <c r="E21" s="13" t="n">
        <v>2</v>
      </c>
      <c r="F21" s="14">
        <f>ROUND($C$5*E21,0)</f>
        <v>672.0</v>
      </c>
      <c r="G21" s="15" t="n">
        <v>15</v>
      </c>
      <c r="H21" s="16">
        <f>IF(OR(F21="",G21=""),"",F21*G21)</f>
        <v>10080.0</v>
      </c>
      <c r="I21" s="17" t="inlineStr">
        <is>
          <t>访视次数与补贴标准为规划假设</t>
        </is>
      </c>
      <c r="J21" s="16">
        <f>IF(D21="固定",H21,E21*G21)</f>
        <v>30.0</v>
      </c>
    </row>
    <row r="22" ht="26" customHeight="1">
      <c r="A22" s="10" t="n">
        <v>8</v>
      </c>
      <c r="B22" s="11" t="inlineStr">
        <is>
          <t>劳务费</t>
        </is>
      </c>
      <c r="C22" s="11" t="inlineStr">
        <is>
          <t>筛查劳务（按约 2:1 筛查—随机比）</t>
        </is>
      </c>
      <c r="D22" s="12" t="inlineStr">
        <is>
          <t>总例数</t>
        </is>
      </c>
      <c r="E22" s="13" t="n">
        <v>2</v>
      </c>
      <c r="F22" s="14">
        <f>ROUND($C$5*E22,0)</f>
        <v>672.0</v>
      </c>
      <c r="G22" s="15" t="n">
        <v>5</v>
      </c>
      <c r="H22" s="16">
        <f>IF(OR(F22="",G22=""),"",F22*G22)</f>
        <v>3360.0</v>
      </c>
      <c r="I22" s="17" t="inlineStr">
        <is>
          <t>筛查—随机比参照 TASMINH4，实际转化率【待现场核实】</t>
        </is>
      </c>
      <c r="J22" s="16">
        <f>IF(D22="固定",H22,E22*G22)</f>
        <v>10.0</v>
      </c>
    </row>
    <row r="23" ht="26" customHeight="1">
      <c r="A23" s="10" t="n">
        <v>9</v>
      </c>
      <c r="B23" s="11" t="inlineStr">
        <is>
          <t>数据管理与录入</t>
        </is>
      </c>
      <c r="C23" s="11" t="inlineStr">
        <is>
          <t>双录入/逻辑校验、数据管理</t>
        </is>
      </c>
      <c r="D23" s="12" t="inlineStr">
        <is>
          <t>固定</t>
        </is>
      </c>
      <c r="E23" s="13" t="n">
        <v>1</v>
      </c>
      <c r="F23" s="14" t="n">
        <v>1</v>
      </c>
      <c r="G23" s="15" t="n">
        <v>6000</v>
      </c>
      <c r="H23" s="16">
        <f>IF(OR(F23="",G23=""),"",F23*G23)</f>
        <v>6000.0</v>
      </c>
      <c r="I23" s="17" t="inlineStr">
        <is>
          <t>按一批次估算；规划假设</t>
        </is>
      </c>
      <c r="J23" s="16">
        <f>IF(D23="固定",H23,E23*G23)</f>
        <v>6000.0</v>
      </c>
    </row>
    <row r="24" ht="26" customHeight="1">
      <c r="A24" s="10" t="n">
        <v>10</v>
      </c>
      <c r="B24" s="11" t="inlineStr">
        <is>
          <t>差旅交通</t>
        </is>
      </c>
      <c r="C24" s="11" t="inlineStr">
        <is>
          <t>失访追踪上门随访与社区交通</t>
        </is>
      </c>
      <c r="D24" s="12" t="inlineStr">
        <is>
          <t>固定</t>
        </is>
      </c>
      <c r="E24" s="13" t="n">
        <v>1</v>
      </c>
      <c r="F24" s="14" t="n">
        <v>1</v>
      </c>
      <c r="G24" s="15" t="n">
        <v>3000</v>
      </c>
      <c r="H24" s="16">
        <f>IF(OR(F24="",G24=""),"",F24*G24)</f>
        <v>3000.0</v>
      </c>
      <c r="I24" s="17" t="inlineStr">
        <is>
          <t>规划假设</t>
        </is>
      </c>
      <c r="J24" s="16">
        <f>IF(D24="固定",H24,E24*G24)</f>
        <v>3000.0</v>
      </c>
    </row>
    <row r="25" ht="26" customHeight="1">
      <c r="A25" s="10" t="n">
        <v>11</v>
      </c>
      <c r="B25" s="11" t="inlineStr">
        <is>
          <t>伦理审查与随机化服务</t>
        </is>
      </c>
      <c r="C25" s="11" t="inlineStr">
        <is>
          <t>伦理审查费、随机化实施（信封/中心随机）</t>
        </is>
      </c>
      <c r="D25" s="12" t="inlineStr">
        <is>
          <t>固定</t>
        </is>
      </c>
      <c r="E25" s="13" t="n">
        <v>1</v>
      </c>
      <c r="F25" s="14" t="n">
        <v>1</v>
      </c>
      <c r="G25" s="15" t="n">
        <v>2000</v>
      </c>
      <c r="H25" s="16">
        <f>IF(OR(F25="",G25=""),"",F25*G25)</f>
        <v>2000.0</v>
      </c>
      <c r="I25" s="17" t="inlineStr">
        <is>
          <t>伦理委员会【待确认】；规划假设</t>
        </is>
      </c>
      <c r="J25" s="16">
        <f>IF(D25="固定",H25,E25*G25)</f>
        <v>2000.0</v>
      </c>
    </row>
    <row r="26" ht="26" customHeight="1">
      <c r="A26" s="10" t="n">
        <v>12</v>
      </c>
      <c r="B26" s="11" t="inlineStr">
        <is>
          <t>专家咨询</t>
        </is>
      </c>
      <c r="C26" s="11" t="inlineStr">
        <is>
          <t>患教材料临床审核与第二统计师复核咨询费</t>
        </is>
      </c>
      <c r="D26" s="12" t="inlineStr">
        <is>
          <t>固定</t>
        </is>
      </c>
      <c r="E26" s="13" t="n">
        <v>1</v>
      </c>
      <c r="F26" s="14" t="n">
        <v>1</v>
      </c>
      <c r="G26" s="15" t="n">
        <v>3000</v>
      </c>
      <c r="H26" s="16">
        <f>IF(OR(F26="",G26=""),"",F26*G26)</f>
        <v>3000.0</v>
      </c>
      <c r="I26" s="17" t="inlineStr">
        <is>
          <t>规划假设</t>
        </is>
      </c>
      <c r="J26" s="16">
        <f>IF(D26="固定",H26,E26*G26)</f>
        <v>3000.0</v>
      </c>
    </row>
    <row r="27">
      <c r="A27" s="18" t="inlineStr">
        <is>
          <t>小计（1–12 项）</t>
        </is>
      </c>
      <c r="B27" s="19" t="n"/>
      <c r="C27" s="19" t="n"/>
      <c r="D27" s="19" t="n"/>
      <c r="E27" s="19" t="n"/>
      <c r="F27" s="19" t="n"/>
      <c r="G27" s="19" t="n"/>
      <c r="H27" s="20">
        <f>SUM(H15:H26)</f>
        <v>89408.0</v>
      </c>
      <c r="I27" s="21" t="n"/>
      <c r="J27" s="21" t="n"/>
    </row>
    <row r="28">
      <c r="A28" s="18" t="inlineStr">
        <is>
          <t>不可预见费（小计×费率）</t>
        </is>
      </c>
      <c r="B28" s="19" t="n"/>
      <c r="C28" s="19" t="n"/>
      <c r="D28" s="19" t="n"/>
      <c r="E28" s="19" t="n"/>
      <c r="F28" s="19" t="n"/>
      <c r="G28" s="19" t="n"/>
      <c r="H28" s="20">
        <f>ROUND(H27*$C$10,0)</f>
        <v>4470.0</v>
      </c>
      <c r="I28" s="21" t="n"/>
      <c r="J28" s="21" t="n"/>
    </row>
    <row r="29">
      <c r="A29" s="18" t="inlineStr">
        <is>
          <t>预算总计</t>
        </is>
      </c>
      <c r="B29" s="19" t="n"/>
      <c r="C29" s="19" t="n"/>
      <c r="D29" s="19" t="n"/>
      <c r="E29" s="19" t="n"/>
      <c r="F29" s="19" t="n"/>
      <c r="G29" s="19" t="n"/>
      <c r="H29" s="20">
        <f>H27+H28</f>
        <v>93878.0</v>
      </c>
      <c r="I29" s="21" t="n"/>
      <c r="J29" s="21" t="n"/>
    </row>
    <row r="30">
      <c r="A30" s="22" t="inlineStr">
        <is>
          <t>经费上限</t>
        </is>
      </c>
      <c r="B30" s="21" t="n"/>
      <c r="C30" s="21" t="n"/>
      <c r="D30" s="21" t="n"/>
      <c r="E30" s="21" t="n"/>
      <c r="F30" s="21" t="n"/>
      <c r="G30" s="21" t="n"/>
      <c r="H30" s="23">
        <f>$C$11</f>
        <v>100000.0</v>
      </c>
      <c r="I30" s="21" t="n"/>
      <c r="J30" s="21" t="n"/>
    </row>
    <row r="31">
      <c r="A31" s="22" t="inlineStr">
        <is>
          <t>余量（上限−总计）</t>
        </is>
      </c>
      <c r="B31" s="21" t="n"/>
      <c r="C31" s="21" t="n"/>
      <c r="D31" s="21" t="n"/>
      <c r="E31" s="21" t="n"/>
      <c r="F31" s="21" t="n"/>
      <c r="G31" s="21" t="n"/>
      <c r="H31" s="23">
        <f>H30-H29</f>
        <v>6122.0</v>
      </c>
      <c r="I31" s="21" t="n"/>
      <c r="J31" s="21" t="n"/>
    </row>
    <row r="32">
      <c r="A32" s="22" t="inlineStr">
        <is>
          <t>总计占上限比例</t>
        </is>
      </c>
      <c r="B32" s="21" t="n"/>
      <c r="C32" s="21" t="n"/>
      <c r="D32" s="21" t="n"/>
      <c r="E32" s="21" t="n"/>
      <c r="F32" s="21" t="n"/>
      <c r="G32" s="21" t="n"/>
      <c r="H32" s="24">
        <f>IF(H30=0,"",H29/H30)</f>
        <v>0.93878</v>
      </c>
      <c r="I32" s="21" t="n"/>
      <c r="J32" s="21" t="n"/>
    </row>
  </sheetData>
  <mergeCells count="22">
    <mergeCell ref="A32:G32"/>
    <mergeCell ref="D11:I11"/>
    <mergeCell ref="A11:B11"/>
    <mergeCell ref="A29:G29"/>
    <mergeCell ref="D7:I7"/>
    <mergeCell ref="A6:B6"/>
    <mergeCell ref="A28:G28"/>
    <mergeCell ref="A2:I2"/>
    <mergeCell ref="A7:B7"/>
    <mergeCell ref="A31:G31"/>
    <mergeCell ref="D9:I9"/>
    <mergeCell ref="A30:G30"/>
    <mergeCell ref="D8:I8"/>
    <mergeCell ref="D5:I5"/>
    <mergeCell ref="A5:B5"/>
    <mergeCell ref="A8:B8"/>
    <mergeCell ref="D10:I10"/>
    <mergeCell ref="A27:G27"/>
    <mergeCell ref="A10:B10"/>
    <mergeCell ref="A1:I1"/>
    <mergeCell ref="D6:I6"/>
    <mergeCell ref="A9:B9"/>
  </mergeCells>
  <conditionalFormatting sqref="H32">
    <cfRule type="cellIs" priority="1" operator="greaterThan" dxfId="0">
      <formula>1</formula>
    </cfRule>
    <cfRule type="cellIs" priority="2" operator="greaterThan" dxfId="1">
      <formula>0.9</formula>
    </cfRule>
    <cfRule type="cellIs" priority="3" operator="lessThanOrEqual" dxfId="2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3" customWidth="1" min="5" max="5"/>
    <col width="15" customWidth="1" min="6" max="6"/>
    <col width="15" customWidth="1" min="7" max="7"/>
    <col width="16" customWidth="1" min="8" max="8"/>
    <col width="12" customWidth="1" min="9" max="9"/>
  </cols>
  <sheetData>
    <row r="1">
      <c r="A1" s="1" t="inlineStr">
        <is>
          <t>样本量敏感性矩阵 × 预算联动测算（δ×SD 组合对应总例数，含 15% 脱落膨胀）</t>
        </is>
      </c>
    </row>
    <row r="2" ht="40" customHeight="1">
      <c r="A2" s="2" t="inlineStr">
        <is>
          <t>状态声明：δ 与 SD 均为待确认参数，本表仅展示「不同规模下的预算量级」，不预设可行规模；设备单价引用输入假设【待询价】。规模变化时，联动类型为「干预例数」「总例数」的科目金额随例数变化，固定科目不变，另按不可预见费率 5% 计提。</t>
        </is>
      </c>
    </row>
    <row r="3">
      <c r="A3" s="9" t="inlineStr">
        <is>
          <t>组间差 δ（mmHg）</t>
        </is>
      </c>
      <c r="B3" s="9" t="inlineStr">
        <is>
          <t>标准差 SD（mmHg）</t>
        </is>
      </c>
      <c r="C3" s="9" t="inlineStr">
        <is>
          <t>总例数</t>
        </is>
      </c>
      <c r="D3" s="9" t="inlineStr">
        <is>
          <t>干预例数</t>
        </is>
      </c>
      <c r="E3" s="9" t="inlineStr">
        <is>
          <t>血压计台数</t>
        </is>
      </c>
      <c r="F3" s="9" t="inlineStr">
        <is>
          <t>干预联动金额（元）</t>
        </is>
      </c>
      <c r="G3" s="9" t="inlineStr">
        <is>
          <t>总例数联动金额（元）</t>
        </is>
      </c>
      <c r="H3" s="9" t="inlineStr">
        <is>
          <t>固定金额（元）</t>
        </is>
      </c>
      <c r="I3" s="9" t="inlineStr">
        <is>
          <t>预算总计（元）</t>
        </is>
      </c>
      <c r="J3" s="9" t="inlineStr">
        <is>
          <t>与上限比较</t>
        </is>
      </c>
    </row>
    <row r="4">
      <c r="A4" s="25" t="n">
        <v>3</v>
      </c>
      <c r="B4" s="25" t="n">
        <v>12</v>
      </c>
      <c r="C4" s="26" t="n">
        <v>594</v>
      </c>
      <c r="D4" s="26">
        <f>C4/2</f>
        <v>297.0</v>
      </c>
      <c r="E4" s="26">
        <f>ROUND(D4*'预算与测算'!$E$15,0)</f>
        <v>312.0</v>
      </c>
      <c r="F4" s="27">
        <f>E4*'预算与测算'!$G$15+ROUND((SUMIF('预算与测算'!$D$15:$D$26,"干预例数",'预算与测算'!$J$15:$J$26)-'预算与测算'!$J$15)*D4,0)</f>
        <v>74580.0</v>
      </c>
      <c r="G4" s="27">
        <f>ROUND(SUMIF('预算与测算'!$D$15:$D$26,"总例数",'预算与测算'!$J$15:$J$26)*C4,0)</f>
        <v>28512.0</v>
      </c>
      <c r="H4" s="27">
        <f>ROUND(SUMIF('预算与测算'!$D$15:$D$26,"固定",'预算与测算'!$J$15:$J$26),0)</f>
        <v>31200.0</v>
      </c>
      <c r="I4" s="27">
        <f>ROUND((F4+G4+H4)*(1+'预算与测算'!$C$10),0)</f>
        <v>141007.0</v>
      </c>
      <c r="J4" s="28" t="str">
        <f>IF(I4&gt;'预算与测算'!$C$11,"超上限","上限内")</f>
        <v>超上限</v>
      </c>
    </row>
    <row r="5">
      <c r="A5" s="25" t="n">
        <v>3</v>
      </c>
      <c r="B5" s="25" t="n">
        <v>15</v>
      </c>
      <c r="C5" s="26" t="n">
        <v>926</v>
      </c>
      <c r="D5" s="26">
        <f>C5/2</f>
        <v>463.0</v>
      </c>
      <c r="E5" s="26">
        <f>ROUND(D5*'预算与测算'!$E$15,0)</f>
        <v>486.0</v>
      </c>
      <c r="F5" s="27">
        <f>E5*'预算与测算'!$G$15+ROUND((SUMIF('预算与测算'!$D$15:$D$26,"干预例数",'预算与测算'!$J$15:$J$26)-'预算与测算'!$J$15)*D5,0)</f>
        <v>116180.0</v>
      </c>
      <c r="G5" s="27">
        <f>ROUND(SUMIF('预算与测算'!$D$15:$D$26,"总例数",'预算与测算'!$J$15:$J$26)*C5,0)</f>
        <v>44448.0</v>
      </c>
      <c r="H5" s="27">
        <f>ROUND(SUMIF('预算与测算'!$D$15:$D$26,"固定",'预算与测算'!$J$15:$J$26),0)</f>
        <v>31200.0</v>
      </c>
      <c r="I5" s="27">
        <f>ROUND((F5+G5+H5)*(1+'预算与测算'!$C$10),0)</f>
        <v>201419.0</v>
      </c>
      <c r="J5" s="28" t="str">
        <f>IF(I5&gt;'预算与测算'!$C$11,"超上限","上限内")</f>
        <v>超上限</v>
      </c>
    </row>
    <row r="6">
      <c r="A6" s="25" t="n">
        <v>3</v>
      </c>
      <c r="B6" s="25" t="n">
        <v>18</v>
      </c>
      <c r="C6" s="26" t="n">
        <v>1332</v>
      </c>
      <c r="D6" s="26">
        <f>C6/2</f>
        <v>666.0</v>
      </c>
      <c r="E6" s="26">
        <f>ROUND(D6*'预算与测算'!$E$15,0)</f>
        <v>699.0</v>
      </c>
      <c r="F6" s="27">
        <f>E6*'预算与测算'!$G$15+ROUND((SUMIF('预算与测算'!$D$15:$D$26,"干预例数",'预算与测算'!$J$15:$J$26)-'预算与测算'!$J$15)*D6,0)</f>
        <v>167100.0</v>
      </c>
      <c r="G6" s="27">
        <f>ROUND(SUMIF('预算与测算'!$D$15:$D$26,"总例数",'预算与测算'!$J$15:$J$26)*C6,0)</f>
        <v>63936.0</v>
      </c>
      <c r="H6" s="27">
        <f>ROUND(SUMIF('预算与测算'!$D$15:$D$26,"固定",'预算与测算'!$J$15:$J$26),0)</f>
        <v>31200.0</v>
      </c>
      <c r="I6" s="27">
        <f>ROUND((F6+G6+H6)*(1+'预算与测算'!$C$10),0)</f>
        <v>275348.0</v>
      </c>
      <c r="J6" s="28" t="str">
        <f>IF(I6&gt;'预算与测算'!$C$11,"超上限","上限内")</f>
        <v>超上限</v>
      </c>
    </row>
    <row r="7">
      <c r="A7" s="25" t="n">
        <v>4</v>
      </c>
      <c r="B7" s="25" t="n">
        <v>12</v>
      </c>
      <c r="C7" s="26" t="n">
        <v>336</v>
      </c>
      <c r="D7" s="26">
        <f>C7/2</f>
        <v>168.0</v>
      </c>
      <c r="E7" s="26">
        <f>ROUND(D7*'预算与测算'!$E$15,0)</f>
        <v>176.0</v>
      </c>
      <c r="F7" s="27">
        <f>E7*'预算与测算'!$G$15+ROUND((SUMIF('预算与测算'!$D$15:$D$26,"干预例数",'预算与测算'!$J$15:$J$26)-'预算与测算'!$J$15)*D7,0)</f>
        <v>42080.0</v>
      </c>
      <c r="G7" s="27">
        <f>ROUND(SUMIF('预算与测算'!$D$15:$D$26,"总例数",'预算与测算'!$J$15:$J$26)*C7,0)</f>
        <v>16128.0</v>
      </c>
      <c r="H7" s="27">
        <f>ROUND(SUMIF('预算与测算'!$D$15:$D$26,"固定",'预算与测算'!$J$15:$J$26),0)</f>
        <v>31200.0</v>
      </c>
      <c r="I7" s="27">
        <f>ROUND((F7+G7+H7)*(1+'预算与测算'!$C$10),0)</f>
        <v>93878.0</v>
      </c>
      <c r="J7" s="28" t="str">
        <f>IF(I7&gt;'预算与测算'!$C$11,"超上限","上限内")</f>
        <v>上限内</v>
      </c>
    </row>
    <row r="8">
      <c r="A8" s="25" t="n">
        <v>4</v>
      </c>
      <c r="B8" s="25" t="n">
        <v>15</v>
      </c>
      <c r="C8" s="26" t="n">
        <v>520</v>
      </c>
      <c r="D8" s="26">
        <f>C8/2</f>
        <v>260.0</v>
      </c>
      <c r="E8" s="26">
        <f>ROUND(D8*'预算与测算'!$E$15,0)</f>
        <v>273.0</v>
      </c>
      <c r="F8" s="27">
        <f>E8*'预算与测算'!$G$15+ROUND((SUMIF('预算与测算'!$D$15:$D$26,"干预例数",'预算与测算'!$J$15:$J$26)-'预算与测算'!$J$15)*D8,0)</f>
        <v>65260.0</v>
      </c>
      <c r="G8" s="27">
        <f>ROUND(SUMIF('预算与测算'!$D$15:$D$26,"总例数",'预算与测算'!$J$15:$J$26)*C8,0)</f>
        <v>24960.0</v>
      </c>
      <c r="H8" s="27">
        <f>ROUND(SUMIF('预算与测算'!$D$15:$D$26,"固定",'预算与测算'!$J$15:$J$26),0)</f>
        <v>31200.0</v>
      </c>
      <c r="I8" s="27">
        <f>ROUND((F8+G8+H8)*(1+'预算与测算'!$C$10),0)</f>
        <v>127491.0</v>
      </c>
      <c r="J8" s="28" t="str">
        <f>IF(I8&gt;'预算与测算'!$C$11,"超上限","上限内")</f>
        <v>超上限</v>
      </c>
    </row>
    <row r="9">
      <c r="A9" s="25" t="n">
        <v>4</v>
      </c>
      <c r="B9" s="25" t="n">
        <v>18</v>
      </c>
      <c r="C9" s="26" t="n">
        <v>750</v>
      </c>
      <c r="D9" s="26">
        <f>C9/2</f>
        <v>375.0</v>
      </c>
      <c r="E9" s="26">
        <f>ROUND(D9*'预算与测算'!$E$15,0)</f>
        <v>394.0</v>
      </c>
      <c r="F9" s="27">
        <f>E9*'预算与测算'!$G$15+ROUND((SUMIF('预算与测算'!$D$15:$D$26,"干预例数",'预算与测算'!$J$15:$J$26)-'预算与测算'!$J$15)*D9,0)</f>
        <v>94180.0</v>
      </c>
      <c r="G9" s="27">
        <f>ROUND(SUMIF('预算与测算'!$D$15:$D$26,"总例数",'预算与测算'!$J$15:$J$26)*C9,0)</f>
        <v>36000.0</v>
      </c>
      <c r="H9" s="27">
        <f>ROUND(SUMIF('预算与测算'!$D$15:$D$26,"固定",'预算与测算'!$J$15:$J$26),0)</f>
        <v>31200.0</v>
      </c>
      <c r="I9" s="27">
        <f>ROUND((F9+G9+H9)*(1+'预算与测算'!$C$10),0)</f>
        <v>169449.0</v>
      </c>
      <c r="J9" s="28" t="str">
        <f>IF(I9&gt;'预算与测算'!$C$11,"超上限","上限内")</f>
        <v>超上限</v>
      </c>
    </row>
    <row r="10">
      <c r="A10" s="25" t="n">
        <v>5</v>
      </c>
      <c r="B10" s="25" t="n">
        <v>12</v>
      </c>
      <c r="C10" s="26" t="n">
        <v>216</v>
      </c>
      <c r="D10" s="26">
        <f>C10/2</f>
        <v>108.0</v>
      </c>
      <c r="E10" s="26">
        <f>ROUND(D10*'预算与测算'!$E$15,0)</f>
        <v>113.0</v>
      </c>
      <c r="F10" s="27">
        <f>E10*'预算与测算'!$G$15+ROUND((SUMIF('预算与测算'!$D$15:$D$26,"干预例数",'预算与测算'!$J$15:$J$26)-'预算与测算'!$J$15)*D10,0)</f>
        <v>27020.0</v>
      </c>
      <c r="G10" s="27">
        <f>ROUND(SUMIF('预算与测算'!$D$15:$D$26,"总例数",'预算与测算'!$J$15:$J$26)*C10,0)</f>
        <v>10368.0</v>
      </c>
      <c r="H10" s="27">
        <f>ROUND(SUMIF('预算与测算'!$D$15:$D$26,"固定",'预算与测算'!$J$15:$J$26),0)</f>
        <v>31200.0</v>
      </c>
      <c r="I10" s="27">
        <f>ROUND((F10+G10+H10)*(1+'预算与测算'!$C$10),0)</f>
        <v>72017.0</v>
      </c>
      <c r="J10" s="28" t="str">
        <f>IF(I10&gt;'预算与测算'!$C$11,"超上限","上限内")</f>
        <v>上限内</v>
      </c>
    </row>
    <row r="11">
      <c r="A11" s="25" t="n">
        <v>5</v>
      </c>
      <c r="B11" s="25" t="n">
        <v>15</v>
      </c>
      <c r="C11" s="26" t="n">
        <v>336</v>
      </c>
      <c r="D11" s="26">
        <f>C11/2</f>
        <v>168.0</v>
      </c>
      <c r="E11" s="26">
        <f>ROUND(D11*'预算与测算'!$E$15,0)</f>
        <v>176.0</v>
      </c>
      <c r="F11" s="27">
        <f>E11*'预算与测算'!$G$15+ROUND((SUMIF('预算与测算'!$D$15:$D$26,"干预例数",'预算与测算'!$J$15:$J$26)-'预算与测算'!$J$15)*D11,0)</f>
        <v>42080.0</v>
      </c>
      <c r="G11" s="27">
        <f>ROUND(SUMIF('预算与测算'!$D$15:$D$26,"总例数",'预算与测算'!$J$15:$J$26)*C11,0)</f>
        <v>16128.0</v>
      </c>
      <c r="H11" s="27">
        <f>ROUND(SUMIF('预算与测算'!$D$15:$D$26,"固定",'预算与测算'!$J$15:$J$26),0)</f>
        <v>31200.0</v>
      </c>
      <c r="I11" s="27">
        <f>ROUND((F11+G11+H11)*(1+'预算与测算'!$C$10),0)</f>
        <v>93878.0</v>
      </c>
      <c r="J11" s="28" t="str">
        <f>IF(I11&gt;'预算与测算'!$C$11,"超上限","上限内")</f>
        <v>上限内</v>
      </c>
    </row>
    <row r="12">
      <c r="A12" s="25" t="n">
        <v>5</v>
      </c>
      <c r="B12" s="25" t="n">
        <v>18</v>
      </c>
      <c r="C12" s="26" t="n">
        <v>480</v>
      </c>
      <c r="D12" s="26">
        <f>C12/2</f>
        <v>240.0</v>
      </c>
      <c r="E12" s="26">
        <f>ROUND(D12*'预算与测算'!$E$15,0)</f>
        <v>252.0</v>
      </c>
      <c r="F12" s="27">
        <f>E12*'预算与测算'!$G$15+ROUND((SUMIF('预算与测算'!$D$15:$D$26,"干预例数",'预算与测算'!$J$15:$J$26)-'预算与测算'!$J$15)*D12,0)</f>
        <v>60240.0</v>
      </c>
      <c r="G12" s="27">
        <f>ROUND(SUMIF('预算与测算'!$D$15:$D$26,"总例数",'预算与测算'!$J$15:$J$26)*C12,0)</f>
        <v>23040.0</v>
      </c>
      <c r="H12" s="27">
        <f>ROUND(SUMIF('预算与测算'!$D$15:$D$26,"固定",'预算与测算'!$J$15:$J$26),0)</f>
        <v>31200.0</v>
      </c>
      <c r="I12" s="27">
        <f>ROUND((F12+G12+H12)*(1+'预算与测算'!$C$10),0)</f>
        <v>120204.0</v>
      </c>
      <c r="J12" s="28" t="str">
        <f>IF(I12&gt;'预算与测算'!$C$11,"超上限","上限内")</f>
        <v>超上限</v>
      </c>
    </row>
    <row r="14">
      <c r="A14" s="6" t="inlineStr">
        <is>
          <t>注：招募能力（每月入组需求 108–666 人/月，两社区合计）与预算联动须在设备询价、名册核实后联合论证；本表不预设规模结论。</t>
        </is>
      </c>
    </row>
  </sheetData>
  <mergeCells count="3">
    <mergeCell ref="A1:I1"/>
    <mergeCell ref="A2:I2"/>
    <mergeCell ref="A14:J14"/>
  </mergeCells>
  <conditionalFormatting sqref="J4:J12">
    <cfRule type="cellIs" priority="1" operator="equal" dxfId="0">
      <formula>"超上限"</formula>
    </cfRule>
    <cfRule type="cellIs" priority="2" operator="equal" dxfId="2">
      <formula>"上限内"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29" t="inlineStr">
        <is>
          <t>编制说明与规划假设清单</t>
        </is>
      </c>
    </row>
    <row r="3" ht="34" customHeight="1">
      <c r="A3" s="30" t="n">
        <v>1</v>
      </c>
      <c r="B3" s="4" t="inlineStr">
        <is>
          <t>本预算为申报规划文本，全部金额与单价均为规划假设，不得作为实际支出依据；设备报价、人力成本、招募能力核实后须整体重算。</t>
        </is>
      </c>
    </row>
    <row r="4" ht="34" customHeight="1">
      <c r="A4" s="30" t="n">
        <v>2</v>
      </c>
      <c r="B4" s="4" t="inlineStr">
        <is>
          <t>测算基准规模取样本量敏感性矩阵中的 δ=5/SD=15（或 δ=4/SD=12）组合，总例数 336（干预 168/对照 168）；该规模本身为待确认参数，未锁定。</t>
        </is>
      </c>
    </row>
    <row r="5" ht="34" customHeight="1">
      <c r="A5" s="30" t="n">
        <v>3</v>
      </c>
      <c r="B5" s="4" t="inlineStr">
        <is>
          <t>样本量与效应量参数（组间差 δ、标准差 SD、基线—结局相关 r、沾染率）全部为待确认状态，来源与核对层级见《样本量参数来源表.md》；文献数值仅作各自情境参考，不构成本项目假设的上下限。</t>
        </is>
      </c>
    </row>
    <row r="6" ht="34" customHeight="1">
      <c r="A6" s="30" t="n">
        <v>4</v>
      </c>
      <c r="B6" s="4" t="inlineStr">
        <is>
          <t>预算测算基准规模下总计约 9.4 万元，占 10 万元上限约 94%，余量紧张：若实际入组规模高于基准组合，设备费与随访劳务将同步上升并可能突破上限（见「规模联动测算」表）；规模与预算须联合论证。</t>
        </is>
      </c>
    </row>
    <row r="7" ht="34" customHeight="1">
      <c r="A7" s="30" t="n">
        <v>5</v>
      </c>
      <c r="B7" s="4" t="inlineStr">
        <is>
          <t>现有研究数据为程序生成的合成数据（300 名模拟受试者），不得用作效应量依据，也不得写为真实预实验结果；模拟数据文件与未来真实数据物理分离。</t>
        </is>
      </c>
    </row>
    <row r="8" ht="34" customHeight="1">
      <c r="A8" s="30" t="n">
        <v>6</v>
      </c>
      <c r="B8" s="4" t="inlineStr">
        <is>
          <t>待确认项：两社区机构信息与登记名册、既往招募/失访率、医生可投入时间；设备型号与报价；人力成本标准；达标阈值（按申报年度现行指南）；伦理委员会信息；随机化实施细节。</t>
        </is>
      </c>
    </row>
    <row r="9" ht="58" customHeight="1">
      <c r="A9" s="30" t="n">
        <v>7</v>
      </c>
      <c r="B9" s="4" t="inlineStr">
        <is>
          <t>主要分析为 6 个月诊室收缩压的完整病例线性回归（调整基线收缩压、年龄、社区）；统计规则见《统计分析计划》v1.2，本预算不含数据分析软件采购费（使用 R/Python 开源软件）。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预算及测算依据</dc:title>
  <dcterms:created xmlns:dcterms="http://purl.org/dc/terms/" xmlns:xsi="http://www.w3.org/2001/XMLSchema-instance" xsi:type="dcterms:W3CDTF">2026-11-01T16:24:17Z</dcterms:created>
  <dcterms:modified xmlns:dcterms="http://purl.org/dc/terms/" xmlns:xsi="http://www.w3.org/2001/XMLSchema-instance" xsi:type="dcterms:W3CDTF">2026-11-01T16:24:17Z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{"Label":"1","ContentProducer":"00119111010856365494821B355","ProduceID":"e56dc86781e14975afb7a5441c8e7861","ContentPropagator":"00119111010856365494821B355","PropagateID":"e56dc86781e14975afb7a5441c8e7861"}</vt:lpwstr>
  </property>
</Properties>
</file>