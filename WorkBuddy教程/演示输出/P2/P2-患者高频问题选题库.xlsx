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说明" sheetId="1" state="visible" r:id="rId3"/>
    <sheet name="选题总库" sheetId="2" state="visible" r:id="rId4"/>
    <sheet name="待医生复核" sheetId="3" state="visible" r:id="rId5"/>
    <sheet name="分类汇总" sheetId="4" state="visible" r:id="rId6"/>
    <sheet name="来源全量表" sheetId="5" state="visible" r:id="rId7"/>
  </sheets>
  <definedNames>
    <definedName function="false" hidden="true" localSheetId="2" name="_xlnm._FilterDatabase" vbProcedure="false">待医生复核!$A$3:$N$9</definedName>
    <definedName function="false" hidden="true" localSheetId="4" name="_xlnm._FilterDatabase" vbProcedure="false">来源全量表!$A$2:$G$38</definedName>
    <definedName function="false" hidden="true" localSheetId="1" name="_xlnm._FilterDatabase" vbProcedure="false">选题总库!$A$3:$T$33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<sst xmlns="http://schemas.openxmlformats.org/spreadsheetml/2006/main" count="651" uniqueCount="381">
  <si>
    <t xml:space="preserve">P2 患者高频问题选题库 · 教学演示</t>
  </si>
  <si>
    <t xml:space="preserve">全部内容与数据均为课程虚构素材，不对应真实患者、真实医生或真实机构；不构成诊疗建议，不用于发布。</t>
  </si>
  <si>
    <t xml:space="preserve">一、输入与产出</t>
  </si>
  <si>
    <t xml:space="preserve">输入文件</t>
  </si>
  <si>
    <t xml:space="preserve">实操素材/模拟患者问题.csv（36 条虚构门诊问题，含编号/问题/模拟频次/场景）；实操素材/模拟医生定位.txt</t>
  </si>
  <si>
    <t xml:space="preserve">证据来源</t>
  </si>
  <si>
    <t xml:space="preserve">实操素材/教学事实卡.csv（F01–F10，核对状态＝教学来源核对，医生签署＝未签署）；实操素材/来源索引.md</t>
  </si>
  <si>
    <t xml:space="preserve">产出文件</t>
  </si>
  <si>
    <t xml:space="preserve">本工作簿：选题总库（30 题）／待医生复核（6 题）／分类汇总／来源全量表（36 条原话全留）</t>
  </si>
  <si>
    <t xml:space="preserve">二、处理规则</t>
  </si>
  <si>
    <t xml:space="preserve">保留原话</t>
  </si>
  <si>
    <t xml:space="preserve">'患者原话'列逐字引用原始问法，不改写、不概括；36 条原话在'来源全量表'完整保留，一条未删。</t>
  </si>
  <si>
    <t xml:space="preserve">同义合并</t>
  </si>
  <si>
    <t xml:space="preserve">只合真正同问的 6 组：Q01+Q15、Q02+Q03、Q04+Q35、Q06+Q21、Q08+Q09、Q17+Q18；36 条 → 30 题。</t>
  </si>
  <si>
    <t xml:space="preserve">来源编号</t>
  </si>
  <si>
    <t xml:space="preserve">每条选题保留全部来源编号（D 列），可从选题反查原话，也可从原话反查选题（来源全量表）。</t>
  </si>
  <si>
    <t xml:space="preserve">聚合频次</t>
  </si>
  <si>
    <t xml:space="preserve">聚合频次 = 组内各来源编号的模拟频次之和（G 列给出构成，如 15+14=29），可逐项复核。</t>
  </si>
  <si>
    <t xml:space="preserve">分类</t>
  </si>
  <si>
    <t xml:space="preserve">按四类归口：家庭测量 16 题、记录随访 5 题、特殊情况 7 题、就医沟通 2 题。</t>
  </si>
  <si>
    <t xml:space="preserve">三、评分口径（0–5 分，可复算）</t>
  </si>
  <si>
    <t xml:space="preserve">需求 0–2</t>
  </si>
  <si>
    <t xml:space="preserve">公式自动计算：聚合频次 ≥20 → 2；10–19 → 1；&lt;10 → 0（单元格内为 IF 公式，改频次即自动重算）。</t>
  </si>
  <si>
    <t xml:space="preserve">专业匹配 0–1</t>
  </si>
  <si>
    <t xml:space="preserve">1 = 落在医生定位内的'家庭监测解释／随访沟通'；0 = 需个体化判断或超出科普边界（如症状归因、特殊人群方案）。</t>
  </si>
  <si>
    <t xml:space="preserve">证据充分 0–1</t>
  </si>
  <si>
    <t xml:space="preserve">1 = 有事实卡正面覆盖；0.5 = 仅部分覆盖；0 = 未核验。未核验一律写'待核验'，不写'有指南／有共识'。</t>
  </si>
  <si>
    <t xml:space="preserve">重要性 0–1</t>
  </si>
  <si>
    <t xml:space="preserve">1 = 答错会导致读数系统性偏差、记录误导判读或延误就医；0 = 影响有限。</t>
  </si>
  <si>
    <t xml:space="preserve">风险扣分 0–1</t>
  </si>
  <si>
    <t xml:space="preserve">1 = 涉及用药调整、特殊人群、症状归因，必须医生复核；0.5 = 易被误读为个体建议或引流品牌；0 = 一般操作解释。</t>
  </si>
  <si>
    <t xml:space="preserve">合计</t>
  </si>
  <si>
    <t xml:space="preserve">完全由公式给出：=MAX(0,MIN(5,SUM(需求:重要性)-风险扣分))，下限 0、上限 5，不手填。</t>
  </si>
  <si>
    <t xml:space="preserve">四、状态与发布闸门</t>
  </si>
  <si>
    <t xml:space="preserve">建议状态（公式）</t>
  </si>
  <si>
    <t xml:space="preserve">风险扣分=1 → 待医生复核；证据&lt;1 且 合计≥2 → 待核验；证据&lt;1 → 暂缓；合计≥3 → 候选（可制作）；否则暂缓。</t>
  </si>
  <si>
    <t xml:space="preserve">状态（下拉）</t>
  </si>
  <si>
    <t xml:space="preserve">编辑人工判定，取值：待医生复核／待核验／候选（可制作）／暂缓；与'建议状态'不一致时'一致性校验'列报警。</t>
  </si>
  <si>
    <t xml:space="preserve">发布闸门（公式）</t>
  </si>
  <si>
    <t xml:space="preserve">三态判定：证据=1 且 风险=0 且 状态=候选 → '待医生签署后可制作'；状态候选但风险&gt;0（如T05选购的品牌化风险）→ '禁止发布（风险待改写）'；其余 → '禁止发布'。本表不含任何已发布项。</t>
  </si>
  <si>
    <t xml:space="preserve">证据纪律</t>
  </si>
  <si>
    <t xml:space="preserve">事实卡均为'教学来源核对、医生未签署'。因此本表不输出'指南推荐''共识建议'类表述，待核验项在正文中必须标注待核验。</t>
  </si>
  <si>
    <t xml:space="preserve">五、自检</t>
  </si>
  <si>
    <t xml:space="preserve">选题数</t>
  </si>
  <si>
    <t xml:space="preserve">30 题（原始 36 条，合并 6 组；满足'至少 30 题'且原数据足以支撑）。</t>
  </si>
  <si>
    <t xml:space="preserve">频次守恒</t>
  </si>
  <si>
    <t xml:space="preserve">选题总库聚合频次合计 = 来源全量表模拟频次合计（本金库为 353，见下方校验单元格，显示'一致'即通过）。</t>
  </si>
  <si>
    <t xml:space="preserve">状态一致</t>
  </si>
  <si>
    <t xml:space="preserve">30 行'一致性校验'应全部为'一致'；待医生复核表 6 行的合计分由 VLOOKUP 关联主表，改主表即同步。</t>
  </si>
  <si>
    <t xml:space="preserve">不改来源</t>
  </si>
  <si>
    <t xml:space="preserve">来源全量表只读展示，含 36 条原话与合并去向；未删除、未改写任何原始问法。</t>
  </si>
  <si>
    <t xml:space="preserve">校验：选题总库频次合计</t>
  </si>
  <si>
    <t xml:space="preserve">校验：来源全量表频次合计</t>
  </si>
  <si>
    <t xml:space="preserve">校验：两者是否一致</t>
  </si>
  <si>
    <t xml:space="preserve">校验：待复核表行数</t>
  </si>
  <si>
    <t xml:space="preserve">P2 患者高频问题选题库（30 题）｜教学虚构数据，不构成诊疗建议，不用于发布</t>
  </si>
  <si>
    <t xml:space="preserve">口径：需求由聚合频次公式推导；合计=MAX(0,MIN(5,SUM(需求:重要性)-风险扣分))；证据未核验一律'待核验'，不写'有指南'；风险扣分=1 的题目已进入『待医生复核』表，禁止发布。</t>
  </si>
  <si>
    <t xml:space="preserve">选题ID</t>
  </si>
  <si>
    <t xml:space="preserve">选题主题（合并后）</t>
  </si>
  <si>
    <t xml:space="preserve">患者原话（保留）</t>
  </si>
  <si>
    <t xml:space="preserve">频次构成</t>
  </si>
  <si>
    <t xml:space="preserve">需求
0–2</t>
  </si>
  <si>
    <t xml:space="preserve">专业匹配
0–1</t>
  </si>
  <si>
    <t xml:space="preserve">证据充分
0–1</t>
  </si>
  <si>
    <t xml:space="preserve">证据状态／依据</t>
  </si>
  <si>
    <t xml:space="preserve">重要性
0–1</t>
  </si>
  <si>
    <t xml:space="preserve">风险扣分
0–1</t>
  </si>
  <si>
    <t xml:space="preserve">合计
0–5</t>
  </si>
  <si>
    <t xml:space="preserve">建议状态</t>
  </si>
  <si>
    <t xml:space="preserve">状态
（下拉）</t>
  </si>
  <si>
    <t xml:space="preserve">一致性校验</t>
  </si>
  <si>
    <t xml:space="preserve">发布闸门</t>
  </si>
  <si>
    <t xml:space="preserve">内容角度</t>
  </si>
  <si>
    <t xml:space="preserve">备注／风险说明</t>
  </si>
  <si>
    <t xml:space="preserve">T01</t>
  </si>
  <si>
    <t xml:space="preserve">家庭测量</t>
  </si>
  <si>
    <t xml:space="preserve">静坐多久才能量；测量时能不能说话</t>
  </si>
  <si>
    <t xml:space="preserve">Q01,Q15</t>
  </si>
  <si>
    <t xml:space="preserve">Q01「家里量血压要坐多久」；Q15「测量能聊天吗」</t>
  </si>
  <si>
    <t xml:space="preserve">8+2</t>
  </si>
  <si>
    <t xml:space="preserve">事实卡 F05（静坐≥5分钟）、F08（不说话/不看手机）；教学来源已核对，医生未签署</t>
  </si>
  <si>
    <t xml:space="preserve">候选（可制作）</t>
  </si>
  <si>
    <t xml:space="preserve">先坐5分钟、全程不出声：把'等'和'闭嘴'做成可视化倒计时卡片</t>
  </si>
  <si>
    <t xml:space="preserve">T02</t>
  </si>
  <si>
    <t xml:space="preserve">刚运动完／喝过咖啡，多久才能测</t>
  </si>
  <si>
    <t xml:space="preserve">Q02,Q03</t>
  </si>
  <si>
    <t xml:space="preserve">Q02「刚运动完能不能量」；Q03「喝咖啡后多久量」</t>
  </si>
  <si>
    <t xml:space="preserve">18+2</t>
  </si>
  <si>
    <t xml:space="preserve">事实卡 F04（测量前30分钟避免吸烟、含咖啡因饮料和运动）；未签署</t>
  </si>
  <si>
    <t xml:space="preserve">测量前30分钟'三不做'：不吸烟、不喝咖啡浓茶、不运动</t>
  </si>
  <si>
    <t xml:space="preserve">T03</t>
  </si>
  <si>
    <t xml:space="preserve">袖带要不要隔着衣服／要不要脱外套</t>
  </si>
  <si>
    <t xml:space="preserve">Q04,Q35</t>
  </si>
  <si>
    <t xml:space="preserve">Q04「袖带隔着衣服行吗」；Q35「量血压前要脱外套吗」</t>
  </si>
  <si>
    <t xml:space="preserve">6+14</t>
  </si>
  <si>
    <t xml:space="preserve">事实卡 F06（袖带直接接触上臂皮肤，不隔衣）；未签署</t>
  </si>
  <si>
    <t xml:space="preserve">隔一层衣服就会偏高：'贴皮肤、对齐标记'两步示范</t>
  </si>
  <si>
    <t xml:space="preserve">T04</t>
  </si>
  <si>
    <t xml:space="preserve">应该量左手还是右手</t>
  </si>
  <si>
    <t xml:space="preserve">Q05</t>
  </si>
  <si>
    <t xml:space="preserve">Q05「左右手应该选哪边」</t>
  </si>
  <si>
    <t xml:space="preserve">4</t>
  </si>
  <si>
    <t xml:space="preserve">待核验：事实卡未覆盖左右手差异，需查原始来源后填写依据</t>
  </si>
  <si>
    <t xml:space="preserve">待核验</t>
  </si>
  <si>
    <t xml:space="preserve">首次两侧都测、之后固定一侧：待证据核验后再定表述</t>
  </si>
  <si>
    <t xml:space="preserve">证据未核验前不得写'指南推荐某侧'</t>
  </si>
  <si>
    <t xml:space="preserve">T05</t>
  </si>
  <si>
    <t xml:space="preserve">血压计怎么选；腕式和上臂式一样吗</t>
  </si>
  <si>
    <t xml:space="preserve">Q06,Q21</t>
  </si>
  <si>
    <t xml:space="preserve">Q06「血压计怎么买」；Q21「手腕式和上臂式一样吗」</t>
  </si>
  <si>
    <t xml:space="preserve">15+14</t>
  </si>
  <si>
    <t xml:space="preserve">事实卡 F03（选用经验证的上臂式自动血压计、袖带尺寸合适）；未签署</t>
  </si>
  <si>
    <t xml:space="preserve">只讲'经验证+上臂式+袖带合适'三条硬指标，用对照表讲清腕式差异</t>
  </si>
  <si>
    <t xml:space="preserve">风险点：极易滑向品牌/型号推荐。定位要求不推荐品牌，全稿不得出现品牌名、链接、比价</t>
  </si>
  <si>
    <t xml:space="preserve">T06</t>
  </si>
  <si>
    <t xml:space="preserve">袖带太小怎么办（袖带尺寸）</t>
  </si>
  <si>
    <t xml:space="preserve">Q07</t>
  </si>
  <si>
    <t xml:space="preserve">Q07「袖带太小怎么办」</t>
  </si>
  <si>
    <t xml:space="preserve">13</t>
  </si>
  <si>
    <t xml:space="preserve">事实卡 F03（袖带尺寸应合适）；未签署</t>
  </si>
  <si>
    <t xml:space="preserve">袖带偏小=读数偏高：量上臂围、按机身刻度选号</t>
  </si>
  <si>
    <t xml:space="preserve">T07</t>
  </si>
  <si>
    <t xml:space="preserve">第一次数字高要不要重测；两次间隔多久</t>
  </si>
  <si>
    <t xml:space="preserve">Q08,Q09</t>
  </si>
  <si>
    <t xml:space="preserve">Q08「第一次数字高要不要重测」；Q09「两次间隔多久」</t>
  </si>
  <si>
    <t xml:space="preserve">14+11</t>
  </si>
  <si>
    <t xml:space="preserve">事实卡 F09（每次取两次读数、间隔1分钟并记录）；未签署</t>
  </si>
  <si>
    <t xml:space="preserve">一次高不算数：间隔1分钟再测一次，两次都记下来</t>
  </si>
  <si>
    <t xml:space="preserve">患者问法与事实卡'两次读数'需对齐：重测≠反复测到满意为止</t>
  </si>
  <si>
    <t xml:space="preserve">T08</t>
  </si>
  <si>
    <t xml:space="preserve">一天量几次</t>
  </si>
  <si>
    <t xml:space="preserve">Q10</t>
  </si>
  <si>
    <t xml:space="preserve">Q10「一天量几次」</t>
  </si>
  <si>
    <t xml:space="preserve">16</t>
  </si>
  <si>
    <t xml:space="preserve">事实卡 F09 仅说明'具体频次由医疗人员确定'，无统一频次依据，其余待核验</t>
  </si>
  <si>
    <t xml:space="preserve">早、晚各一个时段，每次2个读数；具体频次以随访医生安排为准</t>
  </si>
  <si>
    <t xml:space="preserve">风险点：频次属个体化安排，不能给出统一'处方式'答案；需在文案中明确'以医生安排为准'</t>
  </si>
  <si>
    <t xml:space="preserve">T09</t>
  </si>
  <si>
    <t xml:space="preserve">老人手抖怎么测</t>
  </si>
  <si>
    <t xml:space="preserve">Q14</t>
  </si>
  <si>
    <t xml:space="preserve">Q14「老人手抖怎么测」</t>
  </si>
  <si>
    <t xml:space="preserve">6</t>
  </si>
  <si>
    <t xml:space="preserve">待核验：事实卡未覆盖手抖/帕金森等人群的测量方法</t>
  </si>
  <si>
    <t xml:space="preserve">先解决'测不成'：靠稳支撑、家属协助、必要时与医生讨论设备</t>
  </si>
  <si>
    <t xml:space="preserve">证据未核验前不得写'可用腕式替代'</t>
  </si>
  <si>
    <t xml:space="preserve">T10</t>
  </si>
  <si>
    <t xml:space="preserve">手臂应该抬多高</t>
  </si>
  <si>
    <t xml:space="preserve">Q16</t>
  </si>
  <si>
    <t xml:space="preserve">Q16「手臂应该抬多高」</t>
  </si>
  <si>
    <t xml:space="preserve">事实卡 F07（手臂有支撑、袖带中部与心脏同高）；未签署</t>
  </si>
  <si>
    <t xml:space="preserve">心脏同高：桌面垫高、手臂放松、别悬空</t>
  </si>
  <si>
    <t xml:space="preserve">T11</t>
  </si>
  <si>
    <t xml:space="preserve">腿可以翘着吗；没有靠背行不行</t>
  </si>
  <si>
    <t xml:space="preserve">Q17,Q18</t>
  </si>
  <si>
    <t xml:space="preserve">Q17「腿可以翘着吗」；Q18「没有靠背行不行」</t>
  </si>
  <si>
    <t xml:space="preserve">事实卡 F07 仅覆盖手臂支撑，跷腿/靠背未覆盖，部分待核验</t>
  </si>
  <si>
    <t xml:space="preserve">脚平放、背靠椅：把'标准坐姿'画成一张图</t>
  </si>
  <si>
    <t xml:space="preserve">证据只有部分覆盖（F07），跷腿与靠背需补证</t>
  </si>
  <si>
    <t xml:space="preserve">T12</t>
  </si>
  <si>
    <t xml:space="preserve">憋尿会影响吗</t>
  </si>
  <si>
    <t xml:space="preserve">Q19</t>
  </si>
  <si>
    <t xml:space="preserve">Q19「憋尿会影响吗」</t>
  </si>
  <si>
    <t xml:space="preserve">事实卡 F05（测量前排空膀胱）；未签署</t>
  </si>
  <si>
    <t xml:space="preserve">测前先上厕所：把'排空膀胱'放进测前清单</t>
  </si>
  <si>
    <t xml:space="preserve">T13</t>
  </si>
  <si>
    <t xml:space="preserve">测量时紧张怎么办</t>
  </si>
  <si>
    <t xml:space="preserve">Q20</t>
  </si>
  <si>
    <t xml:space="preserve">Q20「测量时紧张怎么办」</t>
  </si>
  <si>
    <t xml:space="preserve">待核验：事实卡未覆盖紧张/白大衣效应，需补证</t>
  </si>
  <si>
    <t xml:space="preserve">暂缓</t>
  </si>
  <si>
    <t xml:space="preserve">紧张会让数字偏高：先静坐、别盯着数字看</t>
  </si>
  <si>
    <t xml:space="preserve">低需求+低证据：暂缓，等证据补齐再排期</t>
  </si>
  <si>
    <t xml:space="preserve">T14</t>
  </si>
  <si>
    <t xml:space="preserve">每次都测五遍好吗</t>
  </si>
  <si>
    <t xml:space="preserve">Q32</t>
  </si>
  <si>
    <t xml:space="preserve">Q32「每次都测五遍好吗」</t>
  </si>
  <si>
    <t xml:space="preserve">8</t>
  </si>
  <si>
    <t xml:space="preserve">事实卡 F09 说明'每次两个读数'，可作对照但不直接回答'五遍'，部分待核验</t>
  </si>
  <si>
    <t xml:space="preserve">测得多≠测得准：两次读数足够，反复测会越测越紧张</t>
  </si>
  <si>
    <t xml:space="preserve">低重要性：可作为T07的补充问答，不单独成篇</t>
  </si>
  <si>
    <t xml:space="preserve">T15</t>
  </si>
  <si>
    <t xml:space="preserve">几个人共用一台行吗</t>
  </si>
  <si>
    <t xml:space="preserve">Q29</t>
  </si>
  <si>
    <t xml:space="preserve">Q29「几个人共用一台行吗」</t>
  </si>
  <si>
    <t xml:space="preserve">18</t>
  </si>
  <si>
    <t xml:space="preserve">待核验：事实卡未覆盖多人共用设备的记录区分与袖带卫生</t>
  </si>
  <si>
    <t xml:space="preserve">一台机器多人用：各自建记录、换人重新静坐、袖带清洁</t>
  </si>
  <si>
    <t xml:space="preserve">T16</t>
  </si>
  <si>
    <t xml:space="preserve">设备多久核对一次</t>
  </si>
  <si>
    <t xml:space="preserve">Q24</t>
  </si>
  <si>
    <t xml:space="preserve">Q24「设备多久核对」</t>
  </si>
  <si>
    <t xml:space="preserve">11</t>
  </si>
  <si>
    <t xml:space="preserve">事实卡 F10 提到'携带设备与医疗人员核对'，未给周期，部分待核验</t>
  </si>
  <si>
    <t xml:space="preserve">设备也会'跑偏'：带设备去复诊，让医生对一次</t>
  </si>
  <si>
    <t xml:space="preserve">核对周期需补证，文案不写具体月数</t>
  </si>
  <si>
    <t xml:space="preserve">T17</t>
  </si>
  <si>
    <t xml:space="preserve">记录随访</t>
  </si>
  <si>
    <t xml:space="preserve">什么时候带记录去复诊</t>
  </si>
  <si>
    <t xml:space="preserve">Q11</t>
  </si>
  <si>
    <t xml:space="preserve">Q11「什么时候带记录去复诊」</t>
  </si>
  <si>
    <t xml:space="preserve">12</t>
  </si>
  <si>
    <t xml:space="preserve">事实卡 F10（携带测量记录和设备与医疗人员核对）；未签署</t>
  </si>
  <si>
    <t xml:space="preserve">复诊三件套：记录、设备、正在吃的药</t>
  </si>
  <si>
    <t xml:space="preserve">T18</t>
  </si>
  <si>
    <t xml:space="preserve">记录要保留哪些数值</t>
  </si>
  <si>
    <t xml:space="preserve">Q22</t>
  </si>
  <si>
    <t xml:space="preserve">Q22「记录保留哪些数值」</t>
  </si>
  <si>
    <t xml:space="preserve">14</t>
  </si>
  <si>
    <t xml:space="preserve">事实卡 F09 仅要求'记录结果'，字段清单待核验</t>
  </si>
  <si>
    <t xml:space="preserve">一行记全：日期、时间、高压、低压、脉搏、备注</t>
  </si>
  <si>
    <t xml:space="preserve">字段清单需补证，先按'最小可用字段'表述</t>
  </si>
  <si>
    <t xml:space="preserve">T19</t>
  </si>
  <si>
    <t xml:space="preserve">纸质记录还是手机记录</t>
  </si>
  <si>
    <t xml:space="preserve">Q23</t>
  </si>
  <si>
    <t xml:space="preserve">Q23「纸质记录还是手机记录」</t>
  </si>
  <si>
    <t xml:space="preserve">待核验：事实卡未涉及记录载体</t>
  </si>
  <si>
    <t xml:space="preserve">能坚持的那个就是好工具：纸卡/手机二选一均可</t>
  </si>
  <si>
    <t xml:space="preserve">T20</t>
  </si>
  <si>
    <t xml:space="preserve">漏记一天怎么办</t>
  </si>
  <si>
    <t xml:space="preserve">Q27</t>
  </si>
  <si>
    <t xml:space="preserve">Q27「漏记一天怎么办」</t>
  </si>
  <si>
    <t xml:space="preserve">19</t>
  </si>
  <si>
    <t xml:space="preserve">待核验：事实卡未涉及漏记处理</t>
  </si>
  <si>
    <t xml:space="preserve">漏了不用补：从今天继续记，别中断整周</t>
  </si>
  <si>
    <t xml:space="preserve">T21</t>
  </si>
  <si>
    <t xml:space="preserve">能只记最低的一次吗</t>
  </si>
  <si>
    <t xml:space="preserve">Q31</t>
  </si>
  <si>
    <t xml:space="preserve">Q31「能只记最低的一次吗」</t>
  </si>
  <si>
    <t xml:space="preserve">待核验：事实卡未涉及选择性记录</t>
  </si>
  <si>
    <t xml:space="preserve">只记好看的那次=让医生看错病情：全部记录，包括高的</t>
  </si>
  <si>
    <t xml:space="preserve">风险点：涉及记录完整性，易被理解为'挑着记也行'；需明确'不筛选、不删高值'</t>
  </si>
  <si>
    <t xml:space="preserve">T22</t>
  </si>
  <si>
    <t xml:space="preserve">特殊情况</t>
  </si>
  <si>
    <t xml:space="preserve">血压正常了能不能停药</t>
  </si>
  <si>
    <t xml:space="preserve">Q12</t>
  </si>
  <si>
    <t xml:space="preserve">Q12「正常了能不能停药」</t>
  </si>
  <si>
    <t xml:space="preserve">1</t>
  </si>
  <si>
    <t xml:space="preserve">事实卡 F02（不要仅因家庭读数改变而自行停药）；未签署</t>
  </si>
  <si>
    <t xml:space="preserve">待医生复核</t>
  </si>
  <si>
    <t xml:space="preserve">数字正常是药和生活方式在起作用，不是病好了</t>
  </si>
  <si>
    <t xml:space="preserve">高风险：涉及用药调整，必须医生复核后才可制作</t>
  </si>
  <si>
    <t xml:space="preserve">T23</t>
  </si>
  <si>
    <t xml:space="preserve">忘了吃药怎么办</t>
  </si>
  <si>
    <t xml:space="preserve">Q13</t>
  </si>
  <si>
    <t xml:space="preserve">Q13「忘了吃药怎么办」</t>
  </si>
  <si>
    <t xml:space="preserve">待核验：漏服处理因药物而异，事实卡未覆盖</t>
  </si>
  <si>
    <t xml:space="preserve">漏服怎么办要看药：不自行补双倍，联系医生/药师</t>
  </si>
  <si>
    <t xml:space="preserve">高风险：涉及补服剂量，任何具体建议都需医生确认</t>
  </si>
  <si>
    <t xml:space="preserve">T24</t>
  </si>
  <si>
    <t xml:space="preserve">晚上和早上数字不同正常吗</t>
  </si>
  <si>
    <t xml:space="preserve">Q25</t>
  </si>
  <si>
    <t xml:space="preserve">Q25「晚上和早上不同正常吗」</t>
  </si>
  <si>
    <t xml:space="preserve">15</t>
  </si>
  <si>
    <t xml:space="preserve">待核验：事实卡未覆盖昼夜波动与晨峰</t>
  </si>
  <si>
    <t xml:space="preserve">早晚不一样是常态：固定时段记录，看趋势不看单点</t>
  </si>
  <si>
    <t xml:space="preserve">风险点：'波动正常'可能被误读为'高也不用管'，需加'持续偏高要就医'</t>
  </si>
  <si>
    <t xml:space="preserve">T25</t>
  </si>
  <si>
    <t xml:space="preserve">头晕但数字正常怎么办</t>
  </si>
  <si>
    <t xml:space="preserve">Q26</t>
  </si>
  <si>
    <t xml:space="preserve">Q26「头晕但数字正常怎么办」</t>
  </si>
  <si>
    <t xml:space="preserve">9</t>
  </si>
  <si>
    <t xml:space="preserve">待核验：症状与读数不一致属红旗表现，事实卡未覆盖</t>
  </si>
  <si>
    <t xml:space="preserve">数字正常也可能有问题：症状本身要看医生，不自行归因</t>
  </si>
  <si>
    <t xml:space="preserve">高风险：症状归因属个体诊疗，科普只能写'及时就医'，不得解释原因或给处理方案</t>
  </si>
  <si>
    <t xml:space="preserve">T26</t>
  </si>
  <si>
    <t xml:space="preserve">怀孕后还能用同一个设备吗</t>
  </si>
  <si>
    <t xml:space="preserve">Q33</t>
  </si>
  <si>
    <t xml:space="preserve">Q33「怀孕后还能用同一个设备吗」</t>
  </si>
  <si>
    <t xml:space="preserve">待核验：F03 仅提示特殊人群需额外确认设备适用性，孕期方案无依据</t>
  </si>
  <si>
    <t xml:space="preserve">孕期测量方案要单独定：设备与目标值都问产检医生</t>
  </si>
  <si>
    <t xml:space="preserve">高风险：妊娠属特殊人群，需产科/心内科共同确认表述边界</t>
  </si>
  <si>
    <t xml:space="preserve">T27</t>
  </si>
  <si>
    <t xml:space="preserve">小孩可以用成人袖带吗</t>
  </si>
  <si>
    <t xml:space="preserve">Q34</t>
  </si>
  <si>
    <t xml:space="preserve">Q34「小孩可以用成人袖带吗」</t>
  </si>
  <si>
    <t xml:space="preserve">3</t>
  </si>
  <si>
    <t xml:space="preserve">待核验：儿童袖带与阈值均无依据，事实卡未覆盖</t>
  </si>
  <si>
    <t xml:space="preserve">孩子不能用成人袖带凑：儿童测量到儿科做</t>
  </si>
  <si>
    <t xml:space="preserve">高风险：儿童阈值与设备均不同于成人，科普不越界</t>
  </si>
  <si>
    <t xml:space="preserve">T28</t>
  </si>
  <si>
    <t xml:space="preserve">旅游／出门要不要带设备</t>
  </si>
  <si>
    <t xml:space="preserve">Q28</t>
  </si>
  <si>
    <t xml:space="preserve">Q28「旅游带不带设备」</t>
  </si>
  <si>
    <t xml:space="preserve">待核验：事实卡未涉及外出测量</t>
  </si>
  <si>
    <t xml:space="preserve">出门照常测：带设备+带记录，异地也按同一套动作</t>
  </si>
  <si>
    <t xml:space="preserve">T29</t>
  </si>
  <si>
    <t xml:space="preserve">就医沟通</t>
  </si>
  <si>
    <t xml:space="preserve">医生说的目标值和网上不一样怎么办</t>
  </si>
  <si>
    <t xml:space="preserve">Q36</t>
  </si>
  <si>
    <t xml:space="preserve">Q36「医生说的目标值和网上不同怎么办」</t>
  </si>
  <si>
    <t xml:space="preserve">5</t>
  </si>
  <si>
    <t xml:space="preserve">待核验：个体目标值无依据可引，事实卡未覆盖</t>
  </si>
  <si>
    <t xml:space="preserve">目标值是医生给你定的：以随访医生为准，别按网上数字自行调药</t>
  </si>
  <si>
    <t xml:space="preserve">高风险：目标值个体化，且易被误读为'可以自己调药'，必须医生复核</t>
  </si>
  <si>
    <t xml:space="preserve">T30</t>
  </si>
  <si>
    <t xml:space="preserve">视频问诊怎么展示记录</t>
  </si>
  <si>
    <t xml:space="preserve">Q30</t>
  </si>
  <si>
    <t xml:space="preserve">Q30「视频问诊怎么展示记录」</t>
  </si>
  <si>
    <t xml:space="preserve">待核验：事实卡未涉及远程问诊</t>
  </si>
  <si>
    <t xml:space="preserve">视频问诊先发记录截图，再把设备举到镜头前</t>
  </si>
  <si>
    <t xml:space="preserve">待医生复核（高风险题）｜风险扣分=1 的题目不得直接制作或发布，须医生逐条确认</t>
  </si>
  <si>
    <t xml:space="preserve">本表数据与『选题总库』联动：合计分、频次、来源编号均由 VLOOKUP 取自主表，主表改分本表自动同步；本表演示'只标待办、不代医生下结论'，复核结论为空时一律视为未通过。</t>
  </si>
  <si>
    <t xml:space="preserve">选题主题</t>
  </si>
  <si>
    <t xml:space="preserve">风险扣分</t>
  </si>
  <si>
    <t xml:space="preserve">触发复核原因</t>
  </si>
  <si>
    <t xml:space="preserve">复核要点（需医生逐条确认）</t>
  </si>
  <si>
    <t xml:space="preserve">复核结论
（下拉）</t>
  </si>
  <si>
    <t xml:space="preserve">复核人</t>
  </si>
  <si>
    <t xml:space="preserve">复核日期</t>
  </si>
  <si>
    <t xml:space="preserve">是否可进入制作</t>
  </si>
  <si>
    <t xml:space="preserve">涉及用药调整（自行停药风险）</t>
  </si>
  <si>
    <t xml:space="preserve">① 是否允许公开表述'不自行停药、需与医生讨论'；② 是否必须加'不替代个体诊疗'固定提示；③ F02 未签署，是否可作引用依据；④ 标题是否需回避'停药'字样的绝对化表达。</t>
  </si>
  <si>
    <t xml:space="preserve">待复核</t>
  </si>
  <si>
    <t xml:space="preserve">涉及漏服补服，具体处理因药而异</t>
  </si>
  <si>
    <t xml:space="preserve">① 科普层面能否给'不自行补双倍'这类通用原则；② 是否只保留'联系医生/药师'的指引；③ 是否禁止出现任何剂量、时间窗建议；④ 是否需药学部二次核对。</t>
  </si>
  <si>
    <t xml:space="preserve">症状与读数不一致，属红旗表现</t>
  </si>
  <si>
    <t xml:space="preserve">① 是否只写'出现头晕等症状应及时就医'而不解释原因；② 是否需补急症识别提示（胸痛、言语不清、肢体无力）；③ 能否写'数字正常也可能有问题'；④ 是否需在首屏加就医指引。</t>
  </si>
  <si>
    <t xml:space="preserve">妊娠特殊人群，设备与目标值均需另定</t>
  </si>
  <si>
    <t xml:space="preserve">① 孕期能否沿用原设备（F03 仅提示'特殊人群需额外确认'）；② 边界是否限定为'咨询产检医生'；③ 是否需要产科会诊签字；④ 是否整题暂缓至有明确依据。</t>
  </si>
  <si>
    <t xml:space="preserve">儿童设备与阈值不同于成人</t>
  </si>
  <si>
    <t xml:space="preserve">① 是否只写'儿童测量到儿科'而不给具体方法；② 是否需说明成人袖带不可替代；③ 儿童年龄/袖带规格是否完全不涉；④ 是否整题暂缓。</t>
  </si>
  <si>
    <t xml:space="preserve">个体目标值，易被误读为可自行调药</t>
  </si>
  <si>
    <t xml:space="preserve">① 能否写'目标值因人而异，以随访医生设定为准'；② 是否允许列举一般参考区间；③ 是否须明确'不按网上数字自行调药'；④ 与'网上说法'对比的表述是否会被理解为贬低同行。</t>
  </si>
  <si>
    <t xml:space="preserve">分类汇总（公式联动主表）</t>
  </si>
  <si>
    <t xml:space="preserve">所有数字均为 COUNTIF/SUMIF/AVERAGEIF 公式，改主表即自动更新；分类口径见『说明』。</t>
  </si>
  <si>
    <t xml:space="preserve">聚合频次合计</t>
  </si>
  <si>
    <t xml:space="preserve">平均合计分</t>
  </si>
  <si>
    <t xml:space="preserve">最高合计分</t>
  </si>
  <si>
    <t xml:space="preserve">证据状态分布（不写'有指南'）</t>
  </si>
  <si>
    <t xml:space="preserve">有事实卡正面覆盖（=1）</t>
  </si>
  <si>
    <t xml:space="preserve">仅部分覆盖（=0.5）</t>
  </si>
  <si>
    <t xml:space="preserve">待核验（=0）</t>
  </si>
  <si>
    <t xml:space="preserve">说明：=1 的证据也仅到'教学来源核对'，医生未签署。</t>
  </si>
  <si>
    <t xml:space="preserve">来源全量表｜36 条原始问法一条不删，仅标注归并去向（只读核对用）</t>
  </si>
  <si>
    <t xml:space="preserve">编号</t>
  </si>
  <si>
    <t xml:space="preserve">患者原问题（原文逐字保留）</t>
  </si>
  <si>
    <t xml:space="preserve">模拟频次</t>
  </si>
  <si>
    <t xml:space="preserve">所属选题ID</t>
  </si>
  <si>
    <t xml:space="preserve">处理方式</t>
  </si>
  <si>
    <t xml:space="preserve">备注</t>
  </si>
  <si>
    <t xml:space="preserve">Q01</t>
  </si>
  <si>
    <t xml:space="preserve">家里量血压要坐多久</t>
  </si>
  <si>
    <t xml:space="preserve">同义合并 → T01</t>
  </si>
  <si>
    <t xml:space="preserve">原话保留在合并题中</t>
  </si>
  <si>
    <t xml:space="preserve">Q02</t>
  </si>
  <si>
    <t xml:space="preserve">刚运动完能不能量</t>
  </si>
  <si>
    <t xml:space="preserve">同义合并 → T02</t>
  </si>
  <si>
    <t xml:space="preserve">Q03</t>
  </si>
  <si>
    <t xml:space="preserve">喝咖啡后多久量</t>
  </si>
  <si>
    <t xml:space="preserve">Q04</t>
  </si>
  <si>
    <t xml:space="preserve">袖带隔着衣服行吗</t>
  </si>
  <si>
    <t xml:space="preserve">同义合并 → T03</t>
  </si>
  <si>
    <t xml:space="preserve">左右手应该选哪边</t>
  </si>
  <si>
    <t xml:space="preserve">独立选题</t>
  </si>
  <si>
    <t xml:space="preserve">原话未改写</t>
  </si>
  <si>
    <t xml:space="preserve">Q06</t>
  </si>
  <si>
    <t xml:space="preserve">血压计怎么买</t>
  </si>
  <si>
    <t xml:space="preserve">同义合并 → T05</t>
  </si>
  <si>
    <t xml:space="preserve">袖带太小怎么办</t>
  </si>
  <si>
    <t xml:space="preserve">Q08</t>
  </si>
  <si>
    <t xml:space="preserve">第一次数字高要不要重测</t>
  </si>
  <si>
    <t xml:space="preserve">同义合并 → T07</t>
  </si>
  <si>
    <t xml:space="preserve">Q09</t>
  </si>
  <si>
    <t xml:space="preserve">两次间隔多久</t>
  </si>
  <si>
    <t xml:space="preserve">正常了能不能停药</t>
  </si>
  <si>
    <t xml:space="preserve">Q15</t>
  </si>
  <si>
    <t xml:space="preserve">测量能聊天吗</t>
  </si>
  <si>
    <t xml:space="preserve">Q17</t>
  </si>
  <si>
    <t xml:space="preserve">腿可以翘着吗</t>
  </si>
  <si>
    <t xml:space="preserve">同义合并 → T11</t>
  </si>
  <si>
    <t xml:space="preserve">Q18</t>
  </si>
  <si>
    <t xml:space="preserve">没有靠背行不行</t>
  </si>
  <si>
    <t xml:space="preserve">Q21</t>
  </si>
  <si>
    <t xml:space="preserve">手腕式和上臂式一样吗</t>
  </si>
  <si>
    <t xml:space="preserve">记录保留哪些数值</t>
  </si>
  <si>
    <t xml:space="preserve">设备多久核对</t>
  </si>
  <si>
    <t xml:space="preserve">晚上和早上不同正常吗</t>
  </si>
  <si>
    <t xml:space="preserve">旅游带不带设备</t>
  </si>
  <si>
    <t xml:space="preserve">Q35</t>
  </si>
  <si>
    <t xml:space="preserve">量血压前要脱外套吗</t>
  </si>
  <si>
    <t xml:space="preserve">医生说的目标值和网上不同怎么办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</si>
</sst>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微软雅黑"/>
      <family val="0"/>
      <charset val="1"/>
    </font>
    <font>
      <i val="true"/>
      <sz val="10"/>
      <color rgb="FFC00000"/>
      <name val="微软雅黑"/>
      <family val="0"/>
      <charset val="1"/>
    </font>
    <font>
      <b val="true"/>
      <sz val="11"/>
      <color rgb="FFFFFFFF"/>
      <name val="微软雅黑"/>
      <family val="0"/>
      <charset val="1"/>
    </font>
    <font>
      <b val="true"/>
      <sz val="10"/>
      <color rgb="FF1F3864"/>
      <name val="微软雅黑"/>
      <family val="0"/>
      <charset val="1"/>
    </font>
    <font>
      <sz val="10"/>
      <name val="微软雅黑"/>
      <family val="0"/>
      <charset val="1"/>
    </font>
    <font>
      <b val="true"/>
      <sz val="10"/>
      <name val="微软雅黑"/>
      <family val="0"/>
      <charset val="1"/>
    </font>
    <font>
      <b val="true"/>
      <sz val="10"/>
      <color rgb="FF1E7145"/>
      <name val="微软雅黑"/>
      <family val="0"/>
      <charset val="1"/>
    </font>
    <font>
      <b val="true"/>
      <sz val="14"/>
      <color rgb="FFFFFFFF"/>
      <name val="微软雅黑"/>
      <family val="0"/>
      <charset val="1"/>
    </font>
    <font>
      <sz val="9"/>
      <color rgb="FF595959"/>
      <name val="微软雅黑"/>
      <family val="0"/>
      <charset val="1"/>
    </font>
    <font>
      <b val="true"/>
      <sz val="10"/>
      <color rgb="FFFFFFFF"/>
      <name val="微软雅黑"/>
      <family val="0"/>
      <charset val="1"/>
    </font>
    <font>
      <b val="true"/>
      <sz val="13"/>
      <color rgb="FFFFFFFF"/>
      <name val="微软雅黑"/>
      <family val="0"/>
      <charset val="1"/>
    </font>
    <font>
      <b val="true"/>
      <sz val="14"/>
      <color rgb="FF1F3864"/>
      <name val="微软雅黑"/>
      <family val="0"/>
      <charset val="1"/>
    </font>
    <font>
      <b val="true"/>
      <sz val="11"/>
      <color rgb="FF1F3864"/>
      <name val="微软雅黑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5C8A"/>
        <bgColor rgb="FF595959"/>
      </patternFill>
    </fill>
    <fill>
      <patternFill patternType="solid">
        <fgColor rgb="FFEAF1F8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9E2A2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DC3E6"/>
          <bgColor rgb="FF000000"/>
        </patternFill>
      </fill>
    </dxf>
    <dxf>
      <fill>
        <patternFill patternType="solid">
          <fgColor rgb="FFA5C8E8"/>
          <bgColor rgb="FF000000"/>
        </patternFill>
      </fill>
    </dxf>
    <dxf>
      <fill>
        <patternFill patternType="solid">
          <fgColor rgb="FFAECEEB"/>
          <bgColor rgb="FF000000"/>
        </patternFill>
      </fill>
    </dxf>
    <dxf>
      <fill>
        <patternFill patternType="solid">
          <fgColor rgb="FFB0CFEB"/>
          <bgColor rgb="FF000000"/>
        </patternFill>
      </fill>
    </dxf>
    <dxf>
      <fill>
        <patternFill patternType="solid">
          <fgColor rgb="FFB2D0EC"/>
          <bgColor rgb="FF000000"/>
        </patternFill>
      </fill>
    </dxf>
    <dxf>
      <fill>
        <patternFill patternType="solid">
          <fgColor rgb="FFB5D2EC"/>
          <bgColor rgb="FF000000"/>
        </patternFill>
      </fill>
    </dxf>
    <dxf>
      <fill>
        <patternFill patternType="solid">
          <fgColor rgb="FFB7D3ED"/>
          <bgColor rgb="FF000000"/>
        </patternFill>
      </fill>
    </dxf>
    <dxf>
      <fill>
        <patternFill patternType="solid">
          <fgColor rgb="FFB9D5ED"/>
          <bgColor rgb="FF000000"/>
        </patternFill>
      </fill>
    </dxf>
    <dxf>
      <fill>
        <patternFill patternType="solid">
          <fgColor rgb="FFBBD6EE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1D9EF"/>
          <bgColor rgb="FF000000"/>
        </patternFill>
      </fill>
    </dxf>
    <dxf>
      <fill>
        <patternFill patternType="solid">
          <fgColor rgb="FFC7DDF1"/>
          <bgColor rgb="FF000000"/>
        </patternFill>
      </fill>
    </dxf>
    <dxf>
      <fill>
        <patternFill patternType="solid">
          <fgColor rgb="FFCDE1F3"/>
          <bgColor rgb="FF000000"/>
        </patternFill>
      </fill>
    </dxf>
    <dxf>
      <fill>
        <patternFill patternType="solid">
          <fgColor rgb="FFD3E5F4"/>
          <bgColor rgb="FF000000"/>
        </patternFill>
      </fill>
    </dxf>
    <dxf>
      <fill>
        <patternFill patternType="solid">
          <fgColor rgb="FFE0ECF7"/>
          <bgColor rgb="FF000000"/>
        </patternFill>
      </fill>
    </dxf>
    <dxf>
      <fill>
        <patternFill patternType="solid">
          <fgColor rgb="FFE6F0F9"/>
          <bgColor rgb="FF000000"/>
        </patternFill>
      </fill>
    </dxf>
    <dxf>
      <fill>
        <patternFill patternType="solid">
          <fgColor rgb="FFEDF4FB"/>
          <bgColor rgb="FF000000"/>
        </patternFill>
      </fill>
    </dxf>
    <dxf>
      <fill>
        <patternFill patternType="solid">
          <fgColor rgb="FFF3F8FC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A4C7E8"/>
          <bgColor rgb="FF000000"/>
        </patternFill>
      </fill>
    </dxf>
    <dxf>
      <fill>
        <patternFill patternType="solid">
          <fgColor rgb="FFAACBEA"/>
          <bgColor rgb="FF000000"/>
        </patternFill>
      </fill>
    </dxf>
    <dxf>
      <fill>
        <patternFill patternType="solid">
          <fgColor rgb="FFB1CFEB"/>
          <bgColor rgb="FF000000"/>
        </patternFill>
      </fill>
    </dxf>
    <dxf>
      <fill>
        <patternFill patternType="solid">
          <fgColor rgb="FFCBDFF2"/>
          <bgColor rgb="FF000000"/>
        </patternFill>
      </fill>
    </dxf>
    <dxf>
      <fill>
        <patternFill patternType="solid">
          <fgColor rgb="FFD8E7F5"/>
          <bgColor rgb="FF000000"/>
        </patternFill>
      </fill>
    </dxf>
    <dxf>
      <fill>
        <patternFill patternType="solid">
          <fgColor rgb="FFE5EFF9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 patternType="solid">
          <fgColor rgb="FF9E2A2B"/>
          <bgColor rgb="FF000000"/>
        </patternFill>
      </fill>
    </dxf>
    <dxf>
      <fill>
        <patternFill patternType="solid">
          <fgColor rgb="FF2E5C8A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BFBFBF"/>
      <rgbColor rgb="FF808080"/>
      <rgbColor rgb="FF9999FF"/>
      <rgbColor rgb="FF993366"/>
      <rgbColor rgb="FFFCE4D6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E2A2B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.73"/>
    <col collapsed="false" customWidth="true" hidden="false" outlineLevel="0" max="2" min="2" style="0" width="20.01"/>
    <col collapsed="false" customWidth="true" hidden="false" outlineLevel="0" max="3" min="3" style="0" width="98.26"/>
  </cols>
  <sheetData>
    <row r="2" customFormat="false" ht="30" hidden="false" customHeight="true" outlineLevel="0" collapsed="false">
      <c r="B2" s="1" t="s">
        <v>0</v>
      </c>
      <c r="C2" s="1"/>
    </row>
    <row r="3" customFormat="false" ht="25.5" hidden="false" customHeight="true" outlineLevel="0" collapsed="false">
      <c r="B3" s="2" t="s">
        <v>1</v>
      </c>
      <c r="C3" s="2"/>
    </row>
    <row r="5" customFormat="false" ht="24" hidden="false" customHeight="true" outlineLevel="0" collapsed="false">
      <c r="B5" s="3" t="s">
        <v>2</v>
      </c>
      <c r="C5" s="3"/>
    </row>
    <row r="6" customFormat="false" ht="34.5" hidden="false" customHeight="true" outlineLevel="0" collapsed="false">
      <c r="B6" s="4" t="s">
        <v>3</v>
      </c>
      <c r="C6" s="5" t="s">
        <v>4</v>
      </c>
    </row>
    <row r="7" customFormat="false" ht="34.5" hidden="false" customHeight="true" outlineLevel="0" collapsed="false">
      <c r="B7" s="4" t="s">
        <v>5</v>
      </c>
      <c r="C7" s="5" t="s">
        <v>6</v>
      </c>
    </row>
    <row r="8" customFormat="false" ht="24" hidden="false" customHeight="true" outlineLevel="0" collapsed="false">
      <c r="B8" s="4" t="s">
        <v>7</v>
      </c>
      <c r="C8" s="5" t="s">
        <v>8</v>
      </c>
    </row>
    <row r="10" customFormat="false" ht="24" hidden="false" customHeight="true" outlineLevel="0" collapsed="false">
      <c r="B10" s="3" t="s">
        <v>9</v>
      </c>
      <c r="C10" s="3"/>
    </row>
    <row r="11" customFormat="false" ht="24" hidden="false" customHeight="true" outlineLevel="0" collapsed="false">
      <c r="B11" s="4" t="s">
        <v>10</v>
      </c>
      <c r="C11" s="5" t="s">
        <v>11</v>
      </c>
    </row>
    <row r="12" customFormat="false" ht="24" hidden="false" customHeight="true" outlineLevel="0" collapsed="false">
      <c r="B12" s="4" t="s">
        <v>12</v>
      </c>
      <c r="C12" s="5" t="s">
        <v>13</v>
      </c>
    </row>
    <row r="13" customFormat="false" ht="24" hidden="false" customHeight="true" outlineLevel="0" collapsed="false">
      <c r="B13" s="4" t="s">
        <v>14</v>
      </c>
      <c r="C13" s="5" t="s">
        <v>15</v>
      </c>
    </row>
    <row r="14" customFormat="false" ht="24" hidden="false" customHeight="true" outlineLevel="0" collapsed="false">
      <c r="B14" s="4" t="s">
        <v>16</v>
      </c>
      <c r="C14" s="5" t="s">
        <v>17</v>
      </c>
    </row>
    <row r="15" customFormat="false" ht="24" hidden="false" customHeight="true" outlineLevel="0" collapsed="false">
      <c r="B15" s="4" t="s">
        <v>18</v>
      </c>
      <c r="C15" s="5" t="s">
        <v>19</v>
      </c>
    </row>
    <row r="17" customFormat="false" ht="24" hidden="false" customHeight="true" outlineLevel="0" collapsed="false">
      <c r="B17" s="3" t="s">
        <v>20</v>
      </c>
      <c r="C17" s="3"/>
    </row>
    <row r="18" customFormat="false" ht="34.5" hidden="false" customHeight="true" outlineLevel="0" collapsed="false">
      <c r="B18" s="4" t="s">
        <v>21</v>
      </c>
      <c r="C18" s="5" t="s">
        <v>22</v>
      </c>
    </row>
    <row r="19" customFormat="false" ht="34.5" hidden="false" customHeight="true" outlineLevel="0" collapsed="false">
      <c r="B19" s="4" t="s">
        <v>23</v>
      </c>
      <c r="C19" s="5" t="s">
        <v>24</v>
      </c>
    </row>
    <row r="20" customFormat="false" ht="34.5" hidden="false" customHeight="true" outlineLevel="0" collapsed="false">
      <c r="B20" s="4" t="s">
        <v>25</v>
      </c>
      <c r="C20" s="5" t="s">
        <v>26</v>
      </c>
    </row>
    <row r="21" customFormat="false" ht="24" hidden="false" customHeight="true" outlineLevel="0" collapsed="false">
      <c r="B21" s="4" t="s">
        <v>27</v>
      </c>
      <c r="C21" s="5" t="s">
        <v>28</v>
      </c>
    </row>
    <row r="22" customFormat="false" ht="34.5" hidden="false" customHeight="true" outlineLevel="0" collapsed="false">
      <c r="B22" s="4" t="s">
        <v>29</v>
      </c>
      <c r="C22" s="5" t="s">
        <v>30</v>
      </c>
    </row>
    <row r="23" customFormat="false" ht="24" hidden="false" customHeight="true" outlineLevel="0" collapsed="false">
      <c r="B23" s="4" t="s">
        <v>31</v>
      </c>
      <c r="C23" s="5" t="s">
        <v>32</v>
      </c>
    </row>
    <row r="25" customFormat="false" ht="24" hidden="false" customHeight="true" outlineLevel="0" collapsed="false">
      <c r="B25" s="3" t="s">
        <v>33</v>
      </c>
      <c r="C25" s="3"/>
    </row>
    <row r="26" customFormat="false" ht="34.5" hidden="false" customHeight="true" outlineLevel="0" collapsed="false">
      <c r="B26" s="4" t="s">
        <v>34</v>
      </c>
      <c r="C26" s="5" t="s">
        <v>35</v>
      </c>
    </row>
    <row r="27" customFormat="false" ht="34.5" hidden="false" customHeight="true" outlineLevel="0" collapsed="false">
      <c r="B27" s="4" t="s">
        <v>36</v>
      </c>
      <c r="C27" s="5" t="s">
        <v>37</v>
      </c>
    </row>
    <row r="28" customFormat="false" ht="34.5" hidden="false" customHeight="true" outlineLevel="0" collapsed="false">
      <c r="B28" s="4" t="s">
        <v>38</v>
      </c>
      <c r="C28" s="5" t="s">
        <v>39</v>
      </c>
    </row>
    <row r="29" customFormat="false" ht="34.5" hidden="false" customHeight="true" outlineLevel="0" collapsed="false">
      <c r="B29" s="4" t="s">
        <v>40</v>
      </c>
      <c r="C29" s="5" t="s">
        <v>41</v>
      </c>
    </row>
    <row r="31" customFormat="false" ht="24" hidden="false" customHeight="true" outlineLevel="0" collapsed="false">
      <c r="B31" s="3" t="s">
        <v>42</v>
      </c>
      <c r="C31" s="3"/>
    </row>
    <row r="32" customFormat="false" ht="24" hidden="false" customHeight="true" outlineLevel="0" collapsed="false">
      <c r="B32" s="4" t="s">
        <v>43</v>
      </c>
      <c r="C32" s="5" t="s">
        <v>44</v>
      </c>
    </row>
    <row r="33" customFormat="false" ht="34.5" hidden="false" customHeight="true" outlineLevel="0" collapsed="false">
      <c r="B33" s="4" t="s">
        <v>45</v>
      </c>
      <c r="C33" s="5" t="s">
        <v>46</v>
      </c>
    </row>
    <row r="34" customFormat="false" ht="24" hidden="false" customHeight="true" outlineLevel="0" collapsed="false">
      <c r="B34" s="4" t="s">
        <v>47</v>
      </c>
      <c r="C34" s="5" t="s">
        <v>48</v>
      </c>
    </row>
    <row r="35" customFormat="false" ht="24" hidden="false" customHeight="true" outlineLevel="0" collapsed="false">
      <c r="B35" s="4" t="s">
        <v>49</v>
      </c>
      <c r="C35" s="5" t="s">
        <v>50</v>
      </c>
    </row>
    <row r="37" customFormat="false" ht="15" hidden="false" customHeight="false" outlineLevel="0" collapsed="false">
      <c r="B37" s="6" t="s">
        <v>51</v>
      </c>
      <c r="C37" s="5" t="n">
        <f aca="false">SUM(选题总库!F4:F33)</f>
        <v>353</v>
      </c>
    </row>
    <row r="38" customFormat="false" ht="15" hidden="false" customHeight="false" outlineLevel="0" collapsed="false">
      <c r="B38" s="6" t="s">
        <v>52</v>
      </c>
      <c r="C38" s="5" t="n">
        <f aca="false">SUM(来源全量表!C3:C38)</f>
        <v>353</v>
      </c>
    </row>
    <row r="39" customFormat="false" ht="15" hidden="false" customHeight="false" outlineLevel="0" collapsed="false">
      <c r="B39" s="6" t="s">
        <v>53</v>
      </c>
      <c r="C39" s="7" t="str">
        <f aca="false">IF(C37=C38,"一致（"&amp;C37&amp;"）","不一致，请检查")</f>
        <v>一致（353）</v>
      </c>
    </row>
    <row r="40" customFormat="false" ht="15" hidden="false" customHeight="false" outlineLevel="0" collapsed="false">
      <c r="B40" s="6" t="s">
        <v>54</v>
      </c>
      <c r="C40" s="5" t="str">
        <f aca="false">COUNTA(待医生复核!A4:A9)&amp;" 行（主表风险扣分=1 的题数："&amp;COUNTIF(选题总库!M4:M33,1)&amp;"）"</f>
        <v>6 行（主表风险扣分=1 的题数：6）</v>
      </c>
    </row>
  </sheetData>
  <mergeCells count="7">
    <mergeCell ref="B2:C2"/>
    <mergeCell ref="B3:C3"/>
    <mergeCell ref="B5:C5"/>
    <mergeCell ref="B10:C10"/>
    <mergeCell ref="B17:C17"/>
    <mergeCell ref="B25:C25"/>
    <mergeCell ref="B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9.1"/>
    <col collapsed="false" customWidth="true" hidden="false" outlineLevel="0" max="3" min="3" style="0" width="27.3"/>
    <col collapsed="false" customWidth="true" hidden="false" outlineLevel="0" max="4" min="4" style="0" width="11.83"/>
    <col collapsed="false" customWidth="true" hidden="false" outlineLevel="0" max="5" min="5" style="0" width="36.39"/>
    <col collapsed="false" customWidth="true" hidden="false" outlineLevel="0" max="6" min="6" style="0" width="7.28"/>
    <col collapsed="false" customWidth="true" hidden="false" outlineLevel="0" max="7" min="7" style="0" width="8.19"/>
    <col collapsed="false" customWidth="true" hidden="false" outlineLevel="0" max="8" min="8" style="0" width="6.37"/>
    <col collapsed="false" customWidth="true" hidden="false" outlineLevel="0" max="10" min="9" style="0" width="8.19"/>
    <col collapsed="false" customWidth="true" hidden="false" outlineLevel="0" max="11" min="11" style="0" width="27.3"/>
    <col collapsed="false" customWidth="true" hidden="false" outlineLevel="0" max="12" min="12" style="0" width="7.28"/>
    <col collapsed="false" customWidth="true" hidden="false" outlineLevel="0" max="13" min="13" style="0" width="8.19"/>
    <col collapsed="false" customWidth="true" hidden="false" outlineLevel="0" max="14" min="14" style="0" width="7.28"/>
    <col collapsed="false" customWidth="true" hidden="false" outlineLevel="0" max="16" min="15" style="0" width="10.92"/>
    <col collapsed="false" customWidth="true" hidden="false" outlineLevel="0" max="17" min="17" style="0" width="9.1"/>
    <col collapsed="false" customWidth="true" hidden="false" outlineLevel="0" max="18" min="18" style="0" width="14.56"/>
    <col collapsed="false" customWidth="true" hidden="false" outlineLevel="0" max="19" min="19" style="0" width="30.93"/>
    <col collapsed="false" customWidth="true" hidden="false" outlineLevel="0" max="20" min="20" style="0" width="36.39"/>
  </cols>
  <sheetData>
    <row r="1" customFormat="false" ht="30" hidden="false" customHeight="true" outlineLevel="0" collapsed="false">
      <c r="A1" s="8" t="s">
        <v>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customFormat="false" ht="21.75" hidden="false" customHeight="true" outlineLevel="0" collapsed="false">
      <c r="A2" s="9" t="s">
        <v>56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customFormat="false" ht="33.75" hidden="false" customHeight="true" outlineLevel="0" collapsed="false">
      <c r="A3" s="10" t="s">
        <v>57</v>
      </c>
      <c r="B3" s="10" t="s">
        <v>18</v>
      </c>
      <c r="C3" s="10" t="s">
        <v>58</v>
      </c>
      <c r="D3" s="10" t="s">
        <v>14</v>
      </c>
      <c r="E3" s="10" t="s">
        <v>59</v>
      </c>
      <c r="F3" s="10" t="s">
        <v>16</v>
      </c>
      <c r="G3" s="10" t="s">
        <v>60</v>
      </c>
      <c r="H3" s="10" t="s">
        <v>61</v>
      </c>
      <c r="I3" s="10" t="s">
        <v>62</v>
      </c>
      <c r="J3" s="10" t="s">
        <v>63</v>
      </c>
      <c r="K3" s="10" t="s">
        <v>64</v>
      </c>
      <c r="L3" s="10" t="s">
        <v>65</v>
      </c>
      <c r="M3" s="10" t="s">
        <v>66</v>
      </c>
      <c r="N3" s="10" t="s">
        <v>67</v>
      </c>
      <c r="O3" s="10" t="s">
        <v>68</v>
      </c>
      <c r="P3" s="10" t="s">
        <v>69</v>
      </c>
      <c r="Q3" s="10" t="s">
        <v>70</v>
      </c>
      <c r="R3" s="10" t="s">
        <v>71</v>
      </c>
      <c r="S3" s="10" t="s">
        <v>72</v>
      </c>
      <c r="T3" s="10" t="s">
        <v>73</v>
      </c>
    </row>
    <row r="4" customFormat="false" ht="48.75" hidden="false" customHeight="true" outlineLevel="0" collapsed="false">
      <c r="A4" s="11" t="s">
        <v>74</v>
      </c>
      <c r="B4" s="11" t="s">
        <v>75</v>
      </c>
      <c r="C4" s="12" t="s">
        <v>76</v>
      </c>
      <c r="D4" s="11" t="s">
        <v>77</v>
      </c>
      <c r="E4" s="12" t="s">
        <v>78</v>
      </c>
      <c r="F4" s="11" t="n">
        <v>10</v>
      </c>
      <c r="G4" s="11" t="s">
        <v>79</v>
      </c>
      <c r="H4" s="11" t="n">
        <f aca="false">IF($F4&gt;=20,2,IF($F4&gt;=10,1,0))</f>
        <v>1</v>
      </c>
      <c r="I4" s="11" t="n">
        <v>1</v>
      </c>
      <c r="J4" s="11" t="n">
        <v>1</v>
      </c>
      <c r="K4" s="12" t="s">
        <v>80</v>
      </c>
      <c r="L4" s="11" t="n">
        <v>1</v>
      </c>
      <c r="M4" s="11" t="n">
        <v>0</v>
      </c>
      <c r="N4" s="11" t="n">
        <f aca="false">MAX(0,MIN(5,SUM(H4:L4)-M4))</f>
        <v>4</v>
      </c>
      <c r="O4" s="11" t="str">
        <f aca="false">IF(M4=1,"待医生复核",IF(AND(J4&lt;1,N4&gt;=2),"待核验",IF(J4&lt;1,"暂缓",IF(N4&gt;=3,"候选（可制作）","暂缓"))))</f>
        <v>候选（可制作）</v>
      </c>
      <c r="P4" s="11" t="s">
        <v>81</v>
      </c>
      <c r="Q4" s="11" t="str">
        <f aca="false">IF(P4=O4,"一致","需复核")</f>
        <v>一致</v>
      </c>
      <c r="R4" s="11" t="str">
        <f aca="false">IF(AND(J4=1,M4=0,P4="候选（可制作）"),"待医生签署后可制作",IF(AND(P4="候选（可制作）",M4&gt;0),"禁止发布（风险待改写）","禁止发布"))</f>
        <v>待医生签署后可制作</v>
      </c>
      <c r="S4" s="12" t="s">
        <v>82</v>
      </c>
      <c r="T4" s="12"/>
    </row>
    <row r="5" customFormat="false" ht="48.75" hidden="false" customHeight="true" outlineLevel="0" collapsed="false">
      <c r="A5" s="11" t="s">
        <v>83</v>
      </c>
      <c r="B5" s="11" t="s">
        <v>75</v>
      </c>
      <c r="C5" s="12" t="s">
        <v>84</v>
      </c>
      <c r="D5" s="11" t="s">
        <v>85</v>
      </c>
      <c r="E5" s="12" t="s">
        <v>86</v>
      </c>
      <c r="F5" s="11" t="n">
        <v>20</v>
      </c>
      <c r="G5" s="11" t="s">
        <v>87</v>
      </c>
      <c r="H5" s="11" t="n">
        <f aca="false">IF($F5&gt;=20,2,IF($F5&gt;=10,1,0))</f>
        <v>2</v>
      </c>
      <c r="I5" s="11" t="n">
        <v>1</v>
      </c>
      <c r="J5" s="11" t="n">
        <v>1</v>
      </c>
      <c r="K5" s="12" t="s">
        <v>88</v>
      </c>
      <c r="L5" s="11" t="n">
        <v>1</v>
      </c>
      <c r="M5" s="11" t="n">
        <v>0</v>
      </c>
      <c r="N5" s="11" t="n">
        <f aca="false">MAX(0,MIN(5,SUM(H5:L5)-M5))</f>
        <v>5</v>
      </c>
      <c r="O5" s="11" t="str">
        <f aca="false">IF(M5=1,"待医生复核",IF(AND(J5&lt;1,N5&gt;=2),"待核验",IF(J5&lt;1,"暂缓",IF(N5&gt;=3,"候选（可制作）","暂缓"))))</f>
        <v>候选（可制作）</v>
      </c>
      <c r="P5" s="11" t="s">
        <v>81</v>
      </c>
      <c r="Q5" s="11" t="str">
        <f aca="false">IF(P5=O5,"一致","需复核")</f>
        <v>一致</v>
      </c>
      <c r="R5" s="11" t="str">
        <f aca="false">IF(AND(J5=1,M5=0,P5="候选（可制作）"),"待医生签署后可制作",IF(AND(P5="候选（可制作）",M5&gt;0),"禁止发布（风险待改写）","禁止发布"))</f>
        <v>待医生签署后可制作</v>
      </c>
      <c r="S5" s="12" t="s">
        <v>89</v>
      </c>
      <c r="T5" s="12"/>
    </row>
    <row r="6" customFormat="false" ht="34.5" hidden="false" customHeight="true" outlineLevel="0" collapsed="false">
      <c r="A6" s="11" t="s">
        <v>90</v>
      </c>
      <c r="B6" s="11" t="s">
        <v>75</v>
      </c>
      <c r="C6" s="12" t="s">
        <v>91</v>
      </c>
      <c r="D6" s="11" t="s">
        <v>92</v>
      </c>
      <c r="E6" s="12" t="s">
        <v>93</v>
      </c>
      <c r="F6" s="11" t="n">
        <v>20</v>
      </c>
      <c r="G6" s="11" t="s">
        <v>94</v>
      </c>
      <c r="H6" s="11" t="n">
        <f aca="false">IF($F6&gt;=20,2,IF($F6&gt;=10,1,0))</f>
        <v>2</v>
      </c>
      <c r="I6" s="11" t="n">
        <v>1</v>
      </c>
      <c r="J6" s="11" t="n">
        <v>1</v>
      </c>
      <c r="K6" s="12" t="s">
        <v>95</v>
      </c>
      <c r="L6" s="11" t="n">
        <v>1</v>
      </c>
      <c r="M6" s="11" t="n">
        <v>0</v>
      </c>
      <c r="N6" s="11" t="n">
        <f aca="false">MAX(0,MIN(5,SUM(H6:L6)-M6))</f>
        <v>5</v>
      </c>
      <c r="O6" s="11" t="str">
        <f aca="false">IF(M6=1,"待医生复核",IF(AND(J6&lt;1,N6&gt;=2),"待核验",IF(J6&lt;1,"暂缓",IF(N6&gt;=3,"候选（可制作）","暂缓"))))</f>
        <v>候选（可制作）</v>
      </c>
      <c r="P6" s="11" t="s">
        <v>81</v>
      </c>
      <c r="Q6" s="11" t="str">
        <f aca="false">IF(P6=O6,"一致","需复核")</f>
        <v>一致</v>
      </c>
      <c r="R6" s="11" t="str">
        <f aca="false">IF(AND(J6=1,M6=0,P6="候选（可制作）"),"待医生签署后可制作",IF(AND(P6="候选（可制作）",M6&gt;0),"禁止发布（风险待改写）","禁止发布"))</f>
        <v>待医生签署后可制作</v>
      </c>
      <c r="S6" s="12" t="s">
        <v>96</v>
      </c>
      <c r="T6" s="12"/>
    </row>
    <row r="7" customFormat="false" ht="48.75" hidden="false" customHeight="true" outlineLevel="0" collapsed="false">
      <c r="A7" s="11" t="s">
        <v>97</v>
      </c>
      <c r="B7" s="11" t="s">
        <v>75</v>
      </c>
      <c r="C7" s="12" t="s">
        <v>98</v>
      </c>
      <c r="D7" s="11" t="s">
        <v>99</v>
      </c>
      <c r="E7" s="12" t="s">
        <v>100</v>
      </c>
      <c r="F7" s="11" t="n">
        <v>4</v>
      </c>
      <c r="G7" s="11" t="s">
        <v>101</v>
      </c>
      <c r="H7" s="11" t="n">
        <f aca="false">IF($F7&gt;=20,2,IF($F7&gt;=10,1,0))</f>
        <v>0</v>
      </c>
      <c r="I7" s="11" t="n">
        <v>1</v>
      </c>
      <c r="J7" s="11" t="n">
        <v>0</v>
      </c>
      <c r="K7" s="12" t="s">
        <v>102</v>
      </c>
      <c r="L7" s="11" t="n">
        <v>1</v>
      </c>
      <c r="M7" s="11" t="n">
        <v>0</v>
      </c>
      <c r="N7" s="11" t="n">
        <f aca="false">MAX(0,MIN(5,SUM(H7:L7)-M7))</f>
        <v>2</v>
      </c>
      <c r="O7" s="11" t="str">
        <f aca="false">IF(M7=1,"待医生复核",IF(AND(J7&lt;1,N7&gt;=2),"待核验",IF(J7&lt;1,"暂缓",IF(N7&gt;=3,"候选（可制作）","暂缓"))))</f>
        <v>待核验</v>
      </c>
      <c r="P7" s="11" t="s">
        <v>103</v>
      </c>
      <c r="Q7" s="11" t="str">
        <f aca="false">IF(P7=O7,"一致","需复核")</f>
        <v>一致</v>
      </c>
      <c r="R7" s="11" t="str">
        <f aca="false">IF(AND(J7=1,M7=0,P7="候选（可制作）"),"待医生签署后可制作",IF(AND(P7="候选（可制作）",M7&gt;0),"禁止发布（风险待改写）","禁止发布"))</f>
        <v>禁止发布</v>
      </c>
      <c r="S7" s="12" t="s">
        <v>104</v>
      </c>
      <c r="T7" s="12" t="s">
        <v>105</v>
      </c>
    </row>
    <row r="8" customFormat="false" ht="48.75" hidden="false" customHeight="true" outlineLevel="0" collapsed="false">
      <c r="A8" s="11" t="s">
        <v>106</v>
      </c>
      <c r="B8" s="11" t="s">
        <v>75</v>
      </c>
      <c r="C8" s="12" t="s">
        <v>107</v>
      </c>
      <c r="D8" s="11" t="s">
        <v>108</v>
      </c>
      <c r="E8" s="12" t="s">
        <v>109</v>
      </c>
      <c r="F8" s="11" t="n">
        <v>29</v>
      </c>
      <c r="G8" s="11" t="s">
        <v>110</v>
      </c>
      <c r="H8" s="11" t="n">
        <f aca="false">IF($F8&gt;=20,2,IF($F8&gt;=10,1,0))</f>
        <v>2</v>
      </c>
      <c r="I8" s="11" t="n">
        <v>1</v>
      </c>
      <c r="J8" s="11" t="n">
        <v>1</v>
      </c>
      <c r="K8" s="12" t="s">
        <v>111</v>
      </c>
      <c r="L8" s="11" t="n">
        <v>1</v>
      </c>
      <c r="M8" s="11" t="n">
        <v>0.5</v>
      </c>
      <c r="N8" s="11" t="n">
        <f aca="false">MAX(0,MIN(5,SUM(H8:L8)-M8))</f>
        <v>4.5</v>
      </c>
      <c r="O8" s="11" t="str">
        <f aca="false">IF(M8=1,"待医生复核",IF(AND(J8&lt;1,N8&gt;=2),"待核验",IF(J8&lt;1,"暂缓",IF(N8&gt;=3,"候选（可制作）","暂缓"))))</f>
        <v>候选（可制作）</v>
      </c>
      <c r="P8" s="11" t="s">
        <v>81</v>
      </c>
      <c r="Q8" s="11" t="str">
        <f aca="false">IF(P8=O8,"一致","需复核")</f>
        <v>一致</v>
      </c>
      <c r="R8" s="11" t="str">
        <f aca="false">IF(AND(J8=1,M8=0,P8="候选（可制作）"),"待医生签署后可制作",IF(AND(P8="候选（可制作）",M8&gt;0),"禁止发布（风险待改写）","禁止发布"))</f>
        <v>禁止发布（风险待改写）</v>
      </c>
      <c r="S8" s="12" t="s">
        <v>112</v>
      </c>
      <c r="T8" s="12" t="s">
        <v>113</v>
      </c>
    </row>
    <row r="9" customFormat="false" ht="34.5" hidden="false" customHeight="true" outlineLevel="0" collapsed="false">
      <c r="A9" s="11" t="s">
        <v>114</v>
      </c>
      <c r="B9" s="11" t="s">
        <v>75</v>
      </c>
      <c r="C9" s="12" t="s">
        <v>115</v>
      </c>
      <c r="D9" s="11" t="s">
        <v>116</v>
      </c>
      <c r="E9" s="12" t="s">
        <v>117</v>
      </c>
      <c r="F9" s="11" t="n">
        <v>13</v>
      </c>
      <c r="G9" s="11" t="s">
        <v>118</v>
      </c>
      <c r="H9" s="11" t="n">
        <f aca="false">IF($F9&gt;=20,2,IF($F9&gt;=10,1,0))</f>
        <v>1</v>
      </c>
      <c r="I9" s="11" t="n">
        <v>1</v>
      </c>
      <c r="J9" s="11" t="n">
        <v>1</v>
      </c>
      <c r="K9" s="12" t="s">
        <v>119</v>
      </c>
      <c r="L9" s="11" t="n">
        <v>1</v>
      </c>
      <c r="M9" s="11" t="n">
        <v>0</v>
      </c>
      <c r="N9" s="11" t="n">
        <f aca="false">MAX(0,MIN(5,SUM(H9:L9)-M9))</f>
        <v>4</v>
      </c>
      <c r="O9" s="11" t="str">
        <f aca="false">IF(M9=1,"待医生复核",IF(AND(J9&lt;1,N9&gt;=2),"待核验",IF(J9&lt;1,"暂缓",IF(N9&gt;=3,"候选（可制作）","暂缓"))))</f>
        <v>候选（可制作）</v>
      </c>
      <c r="P9" s="11" t="s">
        <v>81</v>
      </c>
      <c r="Q9" s="11" t="str">
        <f aca="false">IF(P9=O9,"一致","需复核")</f>
        <v>一致</v>
      </c>
      <c r="R9" s="11" t="str">
        <f aca="false">IF(AND(J9=1,M9=0,P9="候选（可制作）"),"待医生签署后可制作",IF(AND(P9="候选（可制作）",M9&gt;0),"禁止发布（风险待改写）","禁止发布"))</f>
        <v>待医生签署后可制作</v>
      </c>
      <c r="S9" s="12" t="s">
        <v>120</v>
      </c>
      <c r="T9" s="12"/>
    </row>
    <row r="10" customFormat="false" ht="48.75" hidden="false" customHeight="true" outlineLevel="0" collapsed="false">
      <c r="A10" s="11" t="s">
        <v>121</v>
      </c>
      <c r="B10" s="11" t="s">
        <v>75</v>
      </c>
      <c r="C10" s="12" t="s">
        <v>122</v>
      </c>
      <c r="D10" s="11" t="s">
        <v>123</v>
      </c>
      <c r="E10" s="12" t="s">
        <v>124</v>
      </c>
      <c r="F10" s="11" t="n">
        <v>25</v>
      </c>
      <c r="G10" s="11" t="s">
        <v>125</v>
      </c>
      <c r="H10" s="11" t="n">
        <f aca="false">IF($F10&gt;=20,2,IF($F10&gt;=10,1,0))</f>
        <v>2</v>
      </c>
      <c r="I10" s="11" t="n">
        <v>1</v>
      </c>
      <c r="J10" s="11" t="n">
        <v>1</v>
      </c>
      <c r="K10" s="12" t="s">
        <v>126</v>
      </c>
      <c r="L10" s="11" t="n">
        <v>1</v>
      </c>
      <c r="M10" s="11" t="n">
        <v>0</v>
      </c>
      <c r="N10" s="11" t="n">
        <f aca="false">MAX(0,MIN(5,SUM(H10:L10)-M10))</f>
        <v>5</v>
      </c>
      <c r="O10" s="11" t="str">
        <f aca="false">IF(M10=1,"待医生复核",IF(AND(J10&lt;1,N10&gt;=2),"待核验",IF(J10&lt;1,"暂缓",IF(N10&gt;=3,"候选（可制作）","暂缓"))))</f>
        <v>候选（可制作）</v>
      </c>
      <c r="P10" s="11" t="s">
        <v>81</v>
      </c>
      <c r="Q10" s="11" t="str">
        <f aca="false">IF(P10=O10,"一致","需复核")</f>
        <v>一致</v>
      </c>
      <c r="R10" s="11" t="str">
        <f aca="false">IF(AND(J10=1,M10=0,P10="候选（可制作）"),"待医生签署后可制作",IF(AND(P10="候选（可制作）",M10&gt;0),"禁止发布（风险待改写）","禁止发布"))</f>
        <v>待医生签署后可制作</v>
      </c>
      <c r="S10" s="12" t="s">
        <v>127</v>
      </c>
      <c r="T10" s="12" t="s">
        <v>128</v>
      </c>
    </row>
    <row r="11" customFormat="false" ht="48.75" hidden="false" customHeight="true" outlineLevel="0" collapsed="false">
      <c r="A11" s="11" t="s">
        <v>129</v>
      </c>
      <c r="B11" s="11" t="s">
        <v>75</v>
      </c>
      <c r="C11" s="12" t="s">
        <v>130</v>
      </c>
      <c r="D11" s="11" t="s">
        <v>131</v>
      </c>
      <c r="E11" s="12" t="s">
        <v>132</v>
      </c>
      <c r="F11" s="11" t="n">
        <v>16</v>
      </c>
      <c r="G11" s="11" t="s">
        <v>133</v>
      </c>
      <c r="H11" s="11" t="n">
        <f aca="false">IF($F11&gt;=20,2,IF($F11&gt;=10,1,0))</f>
        <v>1</v>
      </c>
      <c r="I11" s="11" t="n">
        <v>1</v>
      </c>
      <c r="J11" s="11" t="n">
        <v>0.5</v>
      </c>
      <c r="K11" s="12" t="s">
        <v>134</v>
      </c>
      <c r="L11" s="11" t="n">
        <v>1</v>
      </c>
      <c r="M11" s="11" t="n">
        <v>0.5</v>
      </c>
      <c r="N11" s="11" t="n">
        <f aca="false">MAX(0,MIN(5,SUM(H11:L11)-M11))</f>
        <v>3</v>
      </c>
      <c r="O11" s="11" t="str">
        <f aca="false">IF(M11=1,"待医生复核",IF(AND(J11&lt;1,N11&gt;=2),"待核验",IF(J11&lt;1,"暂缓",IF(N11&gt;=3,"候选（可制作）","暂缓"))))</f>
        <v>待核验</v>
      </c>
      <c r="P11" s="11" t="s">
        <v>103</v>
      </c>
      <c r="Q11" s="11" t="str">
        <f aca="false">IF(P11=O11,"一致","需复核")</f>
        <v>一致</v>
      </c>
      <c r="R11" s="11" t="str">
        <f aca="false">IF(AND(J11=1,M11=0,P11="候选（可制作）"),"待医生签署后可制作",IF(AND(P11="候选（可制作）",M11&gt;0),"禁止发布（风险待改写）","禁止发布"))</f>
        <v>禁止发布</v>
      </c>
      <c r="S11" s="12" t="s">
        <v>135</v>
      </c>
      <c r="T11" s="12" t="s">
        <v>136</v>
      </c>
    </row>
    <row r="12" customFormat="false" ht="34.5" hidden="false" customHeight="true" outlineLevel="0" collapsed="false">
      <c r="A12" s="11" t="s">
        <v>137</v>
      </c>
      <c r="B12" s="11" t="s">
        <v>75</v>
      </c>
      <c r="C12" s="12" t="s">
        <v>138</v>
      </c>
      <c r="D12" s="11" t="s">
        <v>139</v>
      </c>
      <c r="E12" s="12" t="s">
        <v>140</v>
      </c>
      <c r="F12" s="11" t="n">
        <v>6</v>
      </c>
      <c r="G12" s="11" t="s">
        <v>141</v>
      </c>
      <c r="H12" s="11" t="n">
        <f aca="false">IF($F12&gt;=20,2,IF($F12&gt;=10,1,0))</f>
        <v>0</v>
      </c>
      <c r="I12" s="11" t="n">
        <v>1</v>
      </c>
      <c r="J12" s="11" t="n">
        <v>0</v>
      </c>
      <c r="K12" s="12" t="s">
        <v>142</v>
      </c>
      <c r="L12" s="11" t="n">
        <v>1</v>
      </c>
      <c r="M12" s="11" t="n">
        <v>0</v>
      </c>
      <c r="N12" s="11" t="n">
        <f aca="false">MAX(0,MIN(5,SUM(H12:L12)-M12))</f>
        <v>2</v>
      </c>
      <c r="O12" s="11" t="str">
        <f aca="false">IF(M12=1,"待医生复核",IF(AND(J12&lt;1,N12&gt;=2),"待核验",IF(J12&lt;1,"暂缓",IF(N12&gt;=3,"候选（可制作）","暂缓"))))</f>
        <v>待核验</v>
      </c>
      <c r="P12" s="11" t="s">
        <v>103</v>
      </c>
      <c r="Q12" s="11" t="str">
        <f aca="false">IF(P12=O12,"一致","需复核")</f>
        <v>一致</v>
      </c>
      <c r="R12" s="11" t="str">
        <f aca="false">IF(AND(J12=1,M12=0,P12="候选（可制作）"),"待医生签署后可制作",IF(AND(P12="候选（可制作）",M12&gt;0),"禁止发布（风险待改写）","禁止发布"))</f>
        <v>禁止发布</v>
      </c>
      <c r="S12" s="12" t="s">
        <v>143</v>
      </c>
      <c r="T12" s="12" t="s">
        <v>144</v>
      </c>
    </row>
    <row r="13" customFormat="false" ht="34.5" hidden="false" customHeight="true" outlineLevel="0" collapsed="false">
      <c r="A13" s="11" t="s">
        <v>145</v>
      </c>
      <c r="B13" s="11" t="s">
        <v>75</v>
      </c>
      <c r="C13" s="12" t="s">
        <v>146</v>
      </c>
      <c r="D13" s="11" t="s">
        <v>147</v>
      </c>
      <c r="E13" s="12" t="s">
        <v>148</v>
      </c>
      <c r="F13" s="11" t="n">
        <v>16</v>
      </c>
      <c r="G13" s="11" t="s">
        <v>133</v>
      </c>
      <c r="H13" s="11" t="n">
        <f aca="false">IF($F13&gt;=20,2,IF($F13&gt;=10,1,0))</f>
        <v>1</v>
      </c>
      <c r="I13" s="11" t="n">
        <v>1</v>
      </c>
      <c r="J13" s="11" t="n">
        <v>1</v>
      </c>
      <c r="K13" s="12" t="s">
        <v>149</v>
      </c>
      <c r="L13" s="11" t="n">
        <v>1</v>
      </c>
      <c r="M13" s="11" t="n">
        <v>0</v>
      </c>
      <c r="N13" s="11" t="n">
        <f aca="false">MAX(0,MIN(5,SUM(H13:L13)-M13))</f>
        <v>4</v>
      </c>
      <c r="O13" s="11" t="str">
        <f aca="false">IF(M13=1,"待医生复核",IF(AND(J13&lt;1,N13&gt;=2),"待核验",IF(J13&lt;1,"暂缓",IF(N13&gt;=3,"候选（可制作）","暂缓"))))</f>
        <v>候选（可制作）</v>
      </c>
      <c r="P13" s="11" t="s">
        <v>81</v>
      </c>
      <c r="Q13" s="11" t="str">
        <f aca="false">IF(P13=O13,"一致","需复核")</f>
        <v>一致</v>
      </c>
      <c r="R13" s="11" t="str">
        <f aca="false">IF(AND(J13=1,M13=0,P13="候选（可制作）"),"待医生签署后可制作",IF(AND(P13="候选（可制作）",M13&gt;0),"禁止发布（风险待改写）","禁止发布"))</f>
        <v>待医生签署后可制作</v>
      </c>
      <c r="S13" s="12" t="s">
        <v>150</v>
      </c>
      <c r="T13" s="12"/>
    </row>
    <row r="14" customFormat="false" ht="48.75" hidden="false" customHeight="true" outlineLevel="0" collapsed="false">
      <c r="A14" s="11" t="s">
        <v>151</v>
      </c>
      <c r="B14" s="11" t="s">
        <v>75</v>
      </c>
      <c r="C14" s="12" t="s">
        <v>152</v>
      </c>
      <c r="D14" s="11" t="s">
        <v>153</v>
      </c>
      <c r="E14" s="12" t="s">
        <v>154</v>
      </c>
      <c r="F14" s="11" t="n">
        <v>10</v>
      </c>
      <c r="G14" s="11" t="s">
        <v>79</v>
      </c>
      <c r="H14" s="11" t="n">
        <f aca="false">IF($F14&gt;=20,2,IF($F14&gt;=10,1,0))</f>
        <v>1</v>
      </c>
      <c r="I14" s="11" t="n">
        <v>1</v>
      </c>
      <c r="J14" s="11" t="n">
        <v>0.5</v>
      </c>
      <c r="K14" s="12" t="s">
        <v>155</v>
      </c>
      <c r="L14" s="11" t="n">
        <v>1</v>
      </c>
      <c r="M14" s="11" t="n">
        <v>0</v>
      </c>
      <c r="N14" s="11" t="n">
        <f aca="false">MAX(0,MIN(5,SUM(H14:L14)-M14))</f>
        <v>3.5</v>
      </c>
      <c r="O14" s="11" t="str">
        <f aca="false">IF(M14=1,"待医生复核",IF(AND(J14&lt;1,N14&gt;=2),"待核验",IF(J14&lt;1,"暂缓",IF(N14&gt;=3,"候选（可制作）","暂缓"))))</f>
        <v>待核验</v>
      </c>
      <c r="P14" s="11" t="s">
        <v>103</v>
      </c>
      <c r="Q14" s="11" t="str">
        <f aca="false">IF(P14=O14,"一致","需复核")</f>
        <v>一致</v>
      </c>
      <c r="R14" s="11" t="str">
        <f aca="false">IF(AND(J14=1,M14=0,P14="候选（可制作）"),"待医生签署后可制作",IF(AND(P14="候选（可制作）",M14&gt;0),"禁止发布（风险待改写）","禁止发布"))</f>
        <v>禁止发布</v>
      </c>
      <c r="S14" s="12" t="s">
        <v>156</v>
      </c>
      <c r="T14" s="12" t="s">
        <v>157</v>
      </c>
    </row>
    <row r="15" customFormat="false" ht="34.5" hidden="false" customHeight="true" outlineLevel="0" collapsed="false">
      <c r="A15" s="11" t="s">
        <v>158</v>
      </c>
      <c r="B15" s="11" t="s">
        <v>75</v>
      </c>
      <c r="C15" s="12" t="s">
        <v>159</v>
      </c>
      <c r="D15" s="11" t="s">
        <v>160</v>
      </c>
      <c r="E15" s="12" t="s">
        <v>161</v>
      </c>
      <c r="F15" s="11" t="n">
        <v>6</v>
      </c>
      <c r="G15" s="11" t="s">
        <v>141</v>
      </c>
      <c r="H15" s="11" t="n">
        <f aca="false">IF($F15&gt;=20,2,IF($F15&gt;=10,1,0))</f>
        <v>0</v>
      </c>
      <c r="I15" s="11" t="n">
        <v>1</v>
      </c>
      <c r="J15" s="11" t="n">
        <v>1</v>
      </c>
      <c r="K15" s="12" t="s">
        <v>162</v>
      </c>
      <c r="L15" s="11" t="n">
        <v>1</v>
      </c>
      <c r="M15" s="11" t="n">
        <v>0</v>
      </c>
      <c r="N15" s="11" t="n">
        <f aca="false">MAX(0,MIN(5,SUM(H15:L15)-M15))</f>
        <v>3</v>
      </c>
      <c r="O15" s="11" t="str">
        <f aca="false">IF(M15=1,"待医生复核",IF(AND(J15&lt;1,N15&gt;=2),"待核验",IF(J15&lt;1,"暂缓",IF(N15&gt;=3,"候选（可制作）","暂缓"))))</f>
        <v>候选（可制作）</v>
      </c>
      <c r="P15" s="11" t="s">
        <v>81</v>
      </c>
      <c r="Q15" s="11" t="str">
        <f aca="false">IF(P15=O15,"一致","需复核")</f>
        <v>一致</v>
      </c>
      <c r="R15" s="11" t="str">
        <f aca="false">IF(AND(J15=1,M15=0,P15="候选（可制作）"),"待医生签署后可制作",IF(AND(P15="候选（可制作）",M15&gt;0),"禁止发布（风险待改写）","禁止发布"))</f>
        <v>待医生签署后可制作</v>
      </c>
      <c r="S15" s="12" t="s">
        <v>163</v>
      </c>
      <c r="T15" s="12"/>
    </row>
    <row r="16" customFormat="false" ht="34.5" hidden="false" customHeight="true" outlineLevel="0" collapsed="false">
      <c r="A16" s="11" t="s">
        <v>164</v>
      </c>
      <c r="B16" s="11" t="s">
        <v>75</v>
      </c>
      <c r="C16" s="12" t="s">
        <v>165</v>
      </c>
      <c r="D16" s="11" t="s">
        <v>166</v>
      </c>
      <c r="E16" s="12" t="s">
        <v>167</v>
      </c>
      <c r="F16" s="11" t="n">
        <v>4</v>
      </c>
      <c r="G16" s="11" t="s">
        <v>101</v>
      </c>
      <c r="H16" s="11" t="n">
        <f aca="false">IF($F16&gt;=20,2,IF($F16&gt;=10,1,0))</f>
        <v>0</v>
      </c>
      <c r="I16" s="11" t="n">
        <v>1</v>
      </c>
      <c r="J16" s="11" t="n">
        <v>0</v>
      </c>
      <c r="K16" s="12" t="s">
        <v>168</v>
      </c>
      <c r="L16" s="11" t="n">
        <v>0</v>
      </c>
      <c r="M16" s="11" t="n">
        <v>0</v>
      </c>
      <c r="N16" s="11" t="n">
        <f aca="false">MAX(0,MIN(5,SUM(H16:L16)-M16))</f>
        <v>1</v>
      </c>
      <c r="O16" s="11" t="str">
        <f aca="false">IF(M16=1,"待医生复核",IF(AND(J16&lt;1,N16&gt;=2),"待核验",IF(J16&lt;1,"暂缓",IF(N16&gt;=3,"候选（可制作）","暂缓"))))</f>
        <v>暂缓</v>
      </c>
      <c r="P16" s="11" t="s">
        <v>169</v>
      </c>
      <c r="Q16" s="11" t="str">
        <f aca="false">IF(P16=O16,"一致","需复核")</f>
        <v>一致</v>
      </c>
      <c r="R16" s="11" t="str">
        <f aca="false">IF(AND(J16=1,M16=0,P16="候选（可制作）"),"待医生签署后可制作",IF(AND(P16="候选（可制作）",M16&gt;0),"禁止发布（风险待改写）","禁止发布"))</f>
        <v>禁止发布</v>
      </c>
      <c r="S16" s="12" t="s">
        <v>170</v>
      </c>
      <c r="T16" s="12" t="s">
        <v>171</v>
      </c>
    </row>
    <row r="17" customFormat="false" ht="48.75" hidden="false" customHeight="true" outlineLevel="0" collapsed="false">
      <c r="A17" s="11" t="s">
        <v>172</v>
      </c>
      <c r="B17" s="11" t="s">
        <v>75</v>
      </c>
      <c r="C17" s="12" t="s">
        <v>173</v>
      </c>
      <c r="D17" s="11" t="s">
        <v>174</v>
      </c>
      <c r="E17" s="12" t="s">
        <v>175</v>
      </c>
      <c r="F17" s="11" t="n">
        <v>8</v>
      </c>
      <c r="G17" s="11" t="s">
        <v>176</v>
      </c>
      <c r="H17" s="11" t="n">
        <f aca="false">IF($F17&gt;=20,2,IF($F17&gt;=10,1,0))</f>
        <v>0</v>
      </c>
      <c r="I17" s="11" t="n">
        <v>1</v>
      </c>
      <c r="J17" s="11" t="n">
        <v>0.5</v>
      </c>
      <c r="K17" s="12" t="s">
        <v>177</v>
      </c>
      <c r="L17" s="11" t="n">
        <v>0</v>
      </c>
      <c r="M17" s="11" t="n">
        <v>0</v>
      </c>
      <c r="N17" s="11" t="n">
        <f aca="false">MAX(0,MIN(5,SUM(H17:L17)-M17))</f>
        <v>1.5</v>
      </c>
      <c r="O17" s="11" t="str">
        <f aca="false">IF(M17=1,"待医生复核",IF(AND(J17&lt;1,N17&gt;=2),"待核验",IF(J17&lt;1,"暂缓",IF(N17&gt;=3,"候选（可制作）","暂缓"))))</f>
        <v>暂缓</v>
      </c>
      <c r="P17" s="11" t="s">
        <v>169</v>
      </c>
      <c r="Q17" s="11" t="str">
        <f aca="false">IF(P17=O17,"一致","需复核")</f>
        <v>一致</v>
      </c>
      <c r="R17" s="11" t="str">
        <f aca="false">IF(AND(J17=1,M17=0,P17="候选（可制作）"),"待医生签署后可制作",IF(AND(P17="候选（可制作）",M17&gt;0),"禁止发布（风险待改写）","禁止发布"))</f>
        <v>禁止发布</v>
      </c>
      <c r="S17" s="12" t="s">
        <v>178</v>
      </c>
      <c r="T17" s="12" t="s">
        <v>179</v>
      </c>
    </row>
    <row r="18" customFormat="false" ht="34.5" hidden="false" customHeight="true" outlineLevel="0" collapsed="false">
      <c r="A18" s="11" t="s">
        <v>180</v>
      </c>
      <c r="B18" s="11" t="s">
        <v>75</v>
      </c>
      <c r="C18" s="12" t="s">
        <v>181</v>
      </c>
      <c r="D18" s="11" t="s">
        <v>182</v>
      </c>
      <c r="E18" s="12" t="s">
        <v>183</v>
      </c>
      <c r="F18" s="11" t="n">
        <v>18</v>
      </c>
      <c r="G18" s="11" t="s">
        <v>184</v>
      </c>
      <c r="H18" s="11" t="n">
        <f aca="false">IF($F18&gt;=20,2,IF($F18&gt;=10,1,0))</f>
        <v>1</v>
      </c>
      <c r="I18" s="11" t="n">
        <v>1</v>
      </c>
      <c r="J18" s="11" t="n">
        <v>0</v>
      </c>
      <c r="K18" s="12" t="s">
        <v>185</v>
      </c>
      <c r="L18" s="11" t="n">
        <v>1</v>
      </c>
      <c r="M18" s="11" t="n">
        <v>0</v>
      </c>
      <c r="N18" s="11" t="n">
        <f aca="false">MAX(0,MIN(5,SUM(H18:L18)-M18))</f>
        <v>3</v>
      </c>
      <c r="O18" s="11" t="str">
        <f aca="false">IF(M18=1,"待医生复核",IF(AND(J18&lt;1,N18&gt;=2),"待核验",IF(J18&lt;1,"暂缓",IF(N18&gt;=3,"候选（可制作）","暂缓"))))</f>
        <v>待核验</v>
      </c>
      <c r="P18" s="11" t="s">
        <v>103</v>
      </c>
      <c r="Q18" s="11" t="str">
        <f aca="false">IF(P18=O18,"一致","需复核")</f>
        <v>一致</v>
      </c>
      <c r="R18" s="11" t="str">
        <f aca="false">IF(AND(J18=1,M18=0,P18="候选（可制作）"),"待医生签署后可制作",IF(AND(P18="候选（可制作）",M18&gt;0),"禁止发布（风险待改写）","禁止发布"))</f>
        <v>禁止发布</v>
      </c>
      <c r="S18" s="12" t="s">
        <v>186</v>
      </c>
      <c r="T18" s="12"/>
    </row>
    <row r="19" customFormat="false" ht="48.75" hidden="false" customHeight="true" outlineLevel="0" collapsed="false">
      <c r="A19" s="11" t="s">
        <v>187</v>
      </c>
      <c r="B19" s="11" t="s">
        <v>75</v>
      </c>
      <c r="C19" s="12" t="s">
        <v>188</v>
      </c>
      <c r="D19" s="11" t="s">
        <v>189</v>
      </c>
      <c r="E19" s="12" t="s">
        <v>190</v>
      </c>
      <c r="F19" s="11" t="n">
        <v>11</v>
      </c>
      <c r="G19" s="11" t="s">
        <v>191</v>
      </c>
      <c r="H19" s="11" t="n">
        <f aca="false">IF($F19&gt;=20,2,IF($F19&gt;=10,1,0))</f>
        <v>1</v>
      </c>
      <c r="I19" s="11" t="n">
        <v>1</v>
      </c>
      <c r="J19" s="11" t="n">
        <v>0.5</v>
      </c>
      <c r="K19" s="12" t="s">
        <v>192</v>
      </c>
      <c r="L19" s="11" t="n">
        <v>1</v>
      </c>
      <c r="M19" s="11" t="n">
        <v>0</v>
      </c>
      <c r="N19" s="11" t="n">
        <f aca="false">MAX(0,MIN(5,SUM(H19:L19)-M19))</f>
        <v>3.5</v>
      </c>
      <c r="O19" s="11" t="str">
        <f aca="false">IF(M19=1,"待医生复核",IF(AND(J19&lt;1,N19&gt;=2),"待核验",IF(J19&lt;1,"暂缓",IF(N19&gt;=3,"候选（可制作）","暂缓"))))</f>
        <v>待核验</v>
      </c>
      <c r="P19" s="11" t="s">
        <v>103</v>
      </c>
      <c r="Q19" s="11" t="str">
        <f aca="false">IF(P19=O19,"一致","需复核")</f>
        <v>一致</v>
      </c>
      <c r="R19" s="11" t="str">
        <f aca="false">IF(AND(J19=1,M19=0,P19="候选（可制作）"),"待医生签署后可制作",IF(AND(P19="候选（可制作）",M19&gt;0),"禁止发布（风险待改写）","禁止发布"))</f>
        <v>禁止发布</v>
      </c>
      <c r="S19" s="12" t="s">
        <v>193</v>
      </c>
      <c r="T19" s="12" t="s">
        <v>194</v>
      </c>
    </row>
    <row r="20" customFormat="false" ht="48.75" hidden="false" customHeight="true" outlineLevel="0" collapsed="false">
      <c r="A20" s="11" t="s">
        <v>195</v>
      </c>
      <c r="B20" s="11" t="s">
        <v>196</v>
      </c>
      <c r="C20" s="12" t="s">
        <v>197</v>
      </c>
      <c r="D20" s="11" t="s">
        <v>198</v>
      </c>
      <c r="E20" s="12" t="s">
        <v>199</v>
      </c>
      <c r="F20" s="11" t="n">
        <v>12</v>
      </c>
      <c r="G20" s="11" t="s">
        <v>200</v>
      </c>
      <c r="H20" s="11" t="n">
        <f aca="false">IF($F20&gt;=20,2,IF($F20&gt;=10,1,0))</f>
        <v>1</v>
      </c>
      <c r="I20" s="11" t="n">
        <v>1</v>
      </c>
      <c r="J20" s="11" t="n">
        <v>1</v>
      </c>
      <c r="K20" s="12" t="s">
        <v>201</v>
      </c>
      <c r="L20" s="11" t="n">
        <v>1</v>
      </c>
      <c r="M20" s="11" t="n">
        <v>0</v>
      </c>
      <c r="N20" s="11" t="n">
        <f aca="false">MAX(0,MIN(5,SUM(H20:L20)-M20))</f>
        <v>4</v>
      </c>
      <c r="O20" s="11" t="str">
        <f aca="false">IF(M20=1,"待医生复核",IF(AND(J20&lt;1,N20&gt;=2),"待核验",IF(J20&lt;1,"暂缓",IF(N20&gt;=3,"候选（可制作）","暂缓"))))</f>
        <v>候选（可制作）</v>
      </c>
      <c r="P20" s="11" t="s">
        <v>81</v>
      </c>
      <c r="Q20" s="11" t="str">
        <f aca="false">IF(P20=O20,"一致","需复核")</f>
        <v>一致</v>
      </c>
      <c r="R20" s="11" t="str">
        <f aca="false">IF(AND(J20=1,M20=0,P20="候选（可制作）"),"待医生签署后可制作",IF(AND(P20="候选（可制作）",M20&gt;0),"禁止发布（风险待改写）","禁止发布"))</f>
        <v>待医生签署后可制作</v>
      </c>
      <c r="S20" s="12" t="s">
        <v>202</v>
      </c>
      <c r="T20" s="12"/>
    </row>
    <row r="21" customFormat="false" ht="34.5" hidden="false" customHeight="true" outlineLevel="0" collapsed="false">
      <c r="A21" s="11" t="s">
        <v>203</v>
      </c>
      <c r="B21" s="11" t="s">
        <v>196</v>
      </c>
      <c r="C21" s="12" t="s">
        <v>204</v>
      </c>
      <c r="D21" s="11" t="s">
        <v>205</v>
      </c>
      <c r="E21" s="12" t="s">
        <v>206</v>
      </c>
      <c r="F21" s="11" t="n">
        <v>14</v>
      </c>
      <c r="G21" s="11" t="s">
        <v>207</v>
      </c>
      <c r="H21" s="11" t="n">
        <f aca="false">IF($F21&gt;=20,2,IF($F21&gt;=10,1,0))</f>
        <v>1</v>
      </c>
      <c r="I21" s="11" t="n">
        <v>1</v>
      </c>
      <c r="J21" s="11" t="n">
        <v>0.5</v>
      </c>
      <c r="K21" s="12" t="s">
        <v>208</v>
      </c>
      <c r="L21" s="11" t="n">
        <v>1</v>
      </c>
      <c r="M21" s="11" t="n">
        <v>0</v>
      </c>
      <c r="N21" s="11" t="n">
        <f aca="false">MAX(0,MIN(5,SUM(H21:L21)-M21))</f>
        <v>3.5</v>
      </c>
      <c r="O21" s="11" t="str">
        <f aca="false">IF(M21=1,"待医生复核",IF(AND(J21&lt;1,N21&gt;=2),"待核验",IF(J21&lt;1,"暂缓",IF(N21&gt;=3,"候选（可制作）","暂缓"))))</f>
        <v>待核验</v>
      </c>
      <c r="P21" s="11" t="s">
        <v>103</v>
      </c>
      <c r="Q21" s="11" t="str">
        <f aca="false">IF(P21=O21,"一致","需复核")</f>
        <v>一致</v>
      </c>
      <c r="R21" s="11" t="str">
        <f aca="false">IF(AND(J21=1,M21=0,P21="候选（可制作）"),"待医生签署后可制作",IF(AND(P21="候选（可制作）",M21&gt;0),"禁止发布（风险待改写）","禁止发布"))</f>
        <v>禁止发布</v>
      </c>
      <c r="S21" s="12" t="s">
        <v>209</v>
      </c>
      <c r="T21" s="12" t="s">
        <v>210</v>
      </c>
    </row>
    <row r="22" customFormat="false" ht="34.5" hidden="false" customHeight="true" outlineLevel="0" collapsed="false">
      <c r="A22" s="11" t="s">
        <v>211</v>
      </c>
      <c r="B22" s="11" t="s">
        <v>196</v>
      </c>
      <c r="C22" s="12" t="s">
        <v>212</v>
      </c>
      <c r="D22" s="11" t="s">
        <v>213</v>
      </c>
      <c r="E22" s="12" t="s">
        <v>214</v>
      </c>
      <c r="F22" s="11" t="n">
        <v>13</v>
      </c>
      <c r="G22" s="11" t="s">
        <v>118</v>
      </c>
      <c r="H22" s="11" t="n">
        <f aca="false">IF($F22&gt;=20,2,IF($F22&gt;=10,1,0))</f>
        <v>1</v>
      </c>
      <c r="I22" s="11" t="n">
        <v>1</v>
      </c>
      <c r="J22" s="11" t="n">
        <v>0</v>
      </c>
      <c r="K22" s="12" t="s">
        <v>215</v>
      </c>
      <c r="L22" s="11" t="n">
        <v>0</v>
      </c>
      <c r="M22" s="11" t="n">
        <v>0</v>
      </c>
      <c r="N22" s="11" t="n">
        <f aca="false">MAX(0,MIN(5,SUM(H22:L22)-M22))</f>
        <v>2</v>
      </c>
      <c r="O22" s="11" t="str">
        <f aca="false">IF(M22=1,"待医生复核",IF(AND(J22&lt;1,N22&gt;=2),"待核验",IF(J22&lt;1,"暂缓",IF(N22&gt;=3,"候选（可制作）","暂缓"))))</f>
        <v>待核验</v>
      </c>
      <c r="P22" s="11" t="s">
        <v>103</v>
      </c>
      <c r="Q22" s="11" t="str">
        <f aca="false">IF(P22=O22,"一致","需复核")</f>
        <v>一致</v>
      </c>
      <c r="R22" s="11" t="str">
        <f aca="false">IF(AND(J22=1,M22=0,P22="候选（可制作）"),"待医生签署后可制作",IF(AND(P22="候选（可制作）",M22&gt;0),"禁止发布（风险待改写）","禁止发布"))</f>
        <v>禁止发布</v>
      </c>
      <c r="S22" s="12" t="s">
        <v>216</v>
      </c>
      <c r="T22" s="12"/>
    </row>
    <row r="23" customFormat="false" ht="34.5" hidden="false" customHeight="true" outlineLevel="0" collapsed="false">
      <c r="A23" s="11" t="s">
        <v>217</v>
      </c>
      <c r="B23" s="11" t="s">
        <v>196</v>
      </c>
      <c r="C23" s="12" t="s">
        <v>218</v>
      </c>
      <c r="D23" s="11" t="s">
        <v>219</v>
      </c>
      <c r="E23" s="12" t="s">
        <v>220</v>
      </c>
      <c r="F23" s="11" t="n">
        <v>19</v>
      </c>
      <c r="G23" s="11" t="s">
        <v>221</v>
      </c>
      <c r="H23" s="11" t="n">
        <f aca="false">IF($F23&gt;=20,2,IF($F23&gt;=10,1,0))</f>
        <v>1</v>
      </c>
      <c r="I23" s="11" t="n">
        <v>1</v>
      </c>
      <c r="J23" s="11" t="n">
        <v>0</v>
      </c>
      <c r="K23" s="12" t="s">
        <v>222</v>
      </c>
      <c r="L23" s="11" t="n">
        <v>0</v>
      </c>
      <c r="M23" s="11" t="n">
        <v>0</v>
      </c>
      <c r="N23" s="11" t="n">
        <f aca="false">MAX(0,MIN(5,SUM(H23:L23)-M23))</f>
        <v>2</v>
      </c>
      <c r="O23" s="11" t="str">
        <f aca="false">IF(M23=1,"待医生复核",IF(AND(J23&lt;1,N23&gt;=2),"待核验",IF(J23&lt;1,"暂缓",IF(N23&gt;=3,"候选（可制作）","暂缓"))))</f>
        <v>待核验</v>
      </c>
      <c r="P23" s="11" t="s">
        <v>103</v>
      </c>
      <c r="Q23" s="11" t="str">
        <f aca="false">IF(P23=O23,"一致","需复核")</f>
        <v>一致</v>
      </c>
      <c r="R23" s="11" t="str">
        <f aca="false">IF(AND(J23=1,M23=0,P23="候选（可制作）"),"待医生签署后可制作",IF(AND(P23="候选（可制作）",M23&gt;0),"禁止发布（风险待改写）","禁止发布"))</f>
        <v>禁止发布</v>
      </c>
      <c r="S23" s="12" t="s">
        <v>223</v>
      </c>
      <c r="T23" s="12"/>
    </row>
    <row r="24" customFormat="false" ht="48.75" hidden="false" customHeight="true" outlineLevel="0" collapsed="false">
      <c r="A24" s="11" t="s">
        <v>224</v>
      </c>
      <c r="B24" s="11" t="s">
        <v>196</v>
      </c>
      <c r="C24" s="12" t="s">
        <v>225</v>
      </c>
      <c r="D24" s="11" t="s">
        <v>226</v>
      </c>
      <c r="E24" s="12" t="s">
        <v>227</v>
      </c>
      <c r="F24" s="11" t="n">
        <v>6</v>
      </c>
      <c r="G24" s="11" t="s">
        <v>141</v>
      </c>
      <c r="H24" s="11" t="n">
        <f aca="false">IF($F24&gt;=20,2,IF($F24&gt;=10,1,0))</f>
        <v>0</v>
      </c>
      <c r="I24" s="11" t="n">
        <v>1</v>
      </c>
      <c r="J24" s="11" t="n">
        <v>0</v>
      </c>
      <c r="K24" s="12" t="s">
        <v>228</v>
      </c>
      <c r="L24" s="11" t="n">
        <v>1</v>
      </c>
      <c r="M24" s="11" t="n">
        <v>0.5</v>
      </c>
      <c r="N24" s="11" t="n">
        <f aca="false">MAX(0,MIN(5,SUM(H24:L24)-M24))</f>
        <v>1.5</v>
      </c>
      <c r="O24" s="11" t="str">
        <f aca="false">IF(M24=1,"待医生复核",IF(AND(J24&lt;1,N24&gt;=2),"待核验",IF(J24&lt;1,"暂缓",IF(N24&gt;=3,"候选（可制作）","暂缓"))))</f>
        <v>暂缓</v>
      </c>
      <c r="P24" s="11" t="s">
        <v>169</v>
      </c>
      <c r="Q24" s="11" t="str">
        <f aca="false">IF(P24=O24,"一致","需复核")</f>
        <v>一致</v>
      </c>
      <c r="R24" s="11" t="str">
        <f aca="false">IF(AND(J24=1,M24=0,P24="候选（可制作）"),"待医生签署后可制作",IF(AND(P24="候选（可制作）",M24&gt;0),"禁止发布（风险待改写）","禁止发布"))</f>
        <v>禁止发布</v>
      </c>
      <c r="S24" s="12" t="s">
        <v>229</v>
      </c>
      <c r="T24" s="12" t="s">
        <v>230</v>
      </c>
    </row>
    <row r="25" customFormat="false" ht="34.5" hidden="false" customHeight="true" outlineLevel="0" collapsed="false">
      <c r="A25" s="11" t="s">
        <v>231</v>
      </c>
      <c r="B25" s="11" t="s">
        <v>232</v>
      </c>
      <c r="C25" s="12" t="s">
        <v>233</v>
      </c>
      <c r="D25" s="11" t="s">
        <v>234</v>
      </c>
      <c r="E25" s="12" t="s">
        <v>235</v>
      </c>
      <c r="F25" s="11" t="n">
        <v>1</v>
      </c>
      <c r="G25" s="11" t="s">
        <v>236</v>
      </c>
      <c r="H25" s="11" t="n">
        <f aca="false">IF($F25&gt;=20,2,IF($F25&gt;=10,1,0))</f>
        <v>0</v>
      </c>
      <c r="I25" s="11" t="n">
        <v>1</v>
      </c>
      <c r="J25" s="11" t="n">
        <v>1</v>
      </c>
      <c r="K25" s="12" t="s">
        <v>237</v>
      </c>
      <c r="L25" s="11" t="n">
        <v>1</v>
      </c>
      <c r="M25" s="11" t="n">
        <v>1</v>
      </c>
      <c r="N25" s="11" t="n">
        <f aca="false">MAX(0,MIN(5,SUM(H25:L25)-M25))</f>
        <v>2</v>
      </c>
      <c r="O25" s="11" t="str">
        <f aca="false">IF(M25=1,"待医生复核",IF(AND(J25&lt;1,N25&gt;=2),"待核验",IF(J25&lt;1,"暂缓",IF(N25&gt;=3,"候选（可制作）","暂缓"))))</f>
        <v>待医生复核</v>
      </c>
      <c r="P25" s="11" t="s">
        <v>238</v>
      </c>
      <c r="Q25" s="11" t="str">
        <f aca="false">IF(P25=O25,"一致","需复核")</f>
        <v>一致</v>
      </c>
      <c r="R25" s="11" t="str">
        <f aca="false">IF(AND(J25=1,M25=0,P25="候选（可制作）"),"待医生签署后可制作",IF(AND(P25="候选（可制作）",M25&gt;0),"禁止发布（风险待改写）","禁止发布"))</f>
        <v>禁止发布</v>
      </c>
      <c r="S25" s="12" t="s">
        <v>239</v>
      </c>
      <c r="T25" s="12" t="s">
        <v>240</v>
      </c>
    </row>
    <row r="26" customFormat="false" ht="34.5" hidden="false" customHeight="true" outlineLevel="0" collapsed="false">
      <c r="A26" s="11" t="s">
        <v>241</v>
      </c>
      <c r="B26" s="11" t="s">
        <v>232</v>
      </c>
      <c r="C26" s="12" t="s">
        <v>242</v>
      </c>
      <c r="D26" s="11" t="s">
        <v>243</v>
      </c>
      <c r="E26" s="12" t="s">
        <v>244</v>
      </c>
      <c r="F26" s="11" t="n">
        <v>13</v>
      </c>
      <c r="G26" s="11" t="s">
        <v>118</v>
      </c>
      <c r="H26" s="11" t="n">
        <f aca="false">IF($F26&gt;=20,2,IF($F26&gt;=10,1,0))</f>
        <v>1</v>
      </c>
      <c r="I26" s="11" t="n">
        <v>1</v>
      </c>
      <c r="J26" s="11" t="n">
        <v>0</v>
      </c>
      <c r="K26" s="12" t="s">
        <v>245</v>
      </c>
      <c r="L26" s="11" t="n">
        <v>1</v>
      </c>
      <c r="M26" s="11" t="n">
        <v>1</v>
      </c>
      <c r="N26" s="11" t="n">
        <f aca="false">MAX(0,MIN(5,SUM(H26:L26)-M26))</f>
        <v>2</v>
      </c>
      <c r="O26" s="11" t="str">
        <f aca="false">IF(M26=1,"待医生复核",IF(AND(J26&lt;1,N26&gt;=2),"待核验",IF(J26&lt;1,"暂缓",IF(N26&gt;=3,"候选（可制作）","暂缓"))))</f>
        <v>待医生复核</v>
      </c>
      <c r="P26" s="11" t="s">
        <v>238</v>
      </c>
      <c r="Q26" s="11" t="str">
        <f aca="false">IF(P26=O26,"一致","需复核")</f>
        <v>一致</v>
      </c>
      <c r="R26" s="11" t="str">
        <f aca="false">IF(AND(J26=1,M26=0,P26="候选（可制作）"),"待医生签署后可制作",IF(AND(P26="候选（可制作）",M26&gt;0),"禁止发布（风险待改写）","禁止发布"))</f>
        <v>禁止发布</v>
      </c>
      <c r="S26" s="12" t="s">
        <v>246</v>
      </c>
      <c r="T26" s="12" t="s">
        <v>247</v>
      </c>
    </row>
    <row r="27" customFormat="false" ht="34.5" hidden="false" customHeight="true" outlineLevel="0" collapsed="false">
      <c r="A27" s="11" t="s">
        <v>248</v>
      </c>
      <c r="B27" s="11" t="s">
        <v>232</v>
      </c>
      <c r="C27" s="12" t="s">
        <v>249</v>
      </c>
      <c r="D27" s="11" t="s">
        <v>250</v>
      </c>
      <c r="E27" s="12" t="s">
        <v>251</v>
      </c>
      <c r="F27" s="11" t="n">
        <v>15</v>
      </c>
      <c r="G27" s="11" t="s">
        <v>252</v>
      </c>
      <c r="H27" s="11" t="n">
        <f aca="false">IF($F27&gt;=20,2,IF($F27&gt;=10,1,0))</f>
        <v>1</v>
      </c>
      <c r="I27" s="11" t="n">
        <v>1</v>
      </c>
      <c r="J27" s="11" t="n">
        <v>0</v>
      </c>
      <c r="K27" s="12" t="s">
        <v>253</v>
      </c>
      <c r="L27" s="11" t="n">
        <v>1</v>
      </c>
      <c r="M27" s="11" t="n">
        <v>0.5</v>
      </c>
      <c r="N27" s="11" t="n">
        <f aca="false">MAX(0,MIN(5,SUM(H27:L27)-M27))</f>
        <v>2.5</v>
      </c>
      <c r="O27" s="11" t="str">
        <f aca="false">IF(M27=1,"待医生复核",IF(AND(J27&lt;1,N27&gt;=2),"待核验",IF(J27&lt;1,"暂缓",IF(N27&gt;=3,"候选（可制作）","暂缓"))))</f>
        <v>待核验</v>
      </c>
      <c r="P27" s="11" t="s">
        <v>103</v>
      </c>
      <c r="Q27" s="11" t="str">
        <f aca="false">IF(P27=O27,"一致","需复核")</f>
        <v>一致</v>
      </c>
      <c r="R27" s="11" t="str">
        <f aca="false">IF(AND(J27=1,M27=0,P27="候选（可制作）"),"待医生签署后可制作",IF(AND(P27="候选（可制作）",M27&gt;0),"禁止发布（风险待改写）","禁止发布"))</f>
        <v>禁止发布</v>
      </c>
      <c r="S27" s="12" t="s">
        <v>254</v>
      </c>
      <c r="T27" s="12" t="s">
        <v>255</v>
      </c>
    </row>
    <row r="28" customFormat="false" ht="48.75" hidden="false" customHeight="true" outlineLevel="0" collapsed="false">
      <c r="A28" s="11" t="s">
        <v>256</v>
      </c>
      <c r="B28" s="11" t="s">
        <v>232</v>
      </c>
      <c r="C28" s="12" t="s">
        <v>257</v>
      </c>
      <c r="D28" s="11" t="s">
        <v>258</v>
      </c>
      <c r="E28" s="12" t="s">
        <v>259</v>
      </c>
      <c r="F28" s="11" t="n">
        <v>9</v>
      </c>
      <c r="G28" s="11" t="s">
        <v>260</v>
      </c>
      <c r="H28" s="11" t="n">
        <f aca="false">IF($F28&gt;=20,2,IF($F28&gt;=10,1,0))</f>
        <v>0</v>
      </c>
      <c r="I28" s="11" t="n">
        <v>0</v>
      </c>
      <c r="J28" s="11" t="n">
        <v>0</v>
      </c>
      <c r="K28" s="12" t="s">
        <v>261</v>
      </c>
      <c r="L28" s="11" t="n">
        <v>1</v>
      </c>
      <c r="M28" s="11" t="n">
        <v>1</v>
      </c>
      <c r="N28" s="11" t="n">
        <f aca="false">MAX(0,MIN(5,SUM(H28:L28)-M28))</f>
        <v>0</v>
      </c>
      <c r="O28" s="11" t="str">
        <f aca="false">IF(M28=1,"待医生复核",IF(AND(J28&lt;1,N28&gt;=2),"待核验",IF(J28&lt;1,"暂缓",IF(N28&gt;=3,"候选（可制作）","暂缓"))))</f>
        <v>待医生复核</v>
      </c>
      <c r="P28" s="11" t="s">
        <v>238</v>
      </c>
      <c r="Q28" s="11" t="str">
        <f aca="false">IF(P28=O28,"一致","需复核")</f>
        <v>一致</v>
      </c>
      <c r="R28" s="11" t="str">
        <f aca="false">IF(AND(J28=1,M28=0,P28="候选（可制作）"),"待医生签署后可制作",IF(AND(P28="候选（可制作）",M28&gt;0),"禁止发布（风险待改写）","禁止发布"))</f>
        <v>禁止发布</v>
      </c>
      <c r="S28" s="12" t="s">
        <v>262</v>
      </c>
      <c r="T28" s="12" t="s">
        <v>263</v>
      </c>
    </row>
    <row r="29" customFormat="false" ht="48.75" hidden="false" customHeight="true" outlineLevel="0" collapsed="false">
      <c r="A29" s="11" t="s">
        <v>264</v>
      </c>
      <c r="B29" s="11" t="s">
        <v>232</v>
      </c>
      <c r="C29" s="12" t="s">
        <v>265</v>
      </c>
      <c r="D29" s="11" t="s">
        <v>266</v>
      </c>
      <c r="E29" s="12" t="s">
        <v>267</v>
      </c>
      <c r="F29" s="11" t="n">
        <v>14</v>
      </c>
      <c r="G29" s="11" t="s">
        <v>207</v>
      </c>
      <c r="H29" s="11" t="n">
        <f aca="false">IF($F29&gt;=20,2,IF($F29&gt;=10,1,0))</f>
        <v>1</v>
      </c>
      <c r="I29" s="11" t="n">
        <v>0</v>
      </c>
      <c r="J29" s="11" t="n">
        <v>0</v>
      </c>
      <c r="K29" s="12" t="s">
        <v>268</v>
      </c>
      <c r="L29" s="11" t="n">
        <v>1</v>
      </c>
      <c r="M29" s="11" t="n">
        <v>1</v>
      </c>
      <c r="N29" s="11" t="n">
        <f aca="false">MAX(0,MIN(5,SUM(H29:L29)-M29))</f>
        <v>1</v>
      </c>
      <c r="O29" s="11" t="str">
        <f aca="false">IF(M29=1,"待医生复核",IF(AND(J29&lt;1,N29&gt;=2),"待核验",IF(J29&lt;1,"暂缓",IF(N29&gt;=3,"候选（可制作）","暂缓"))))</f>
        <v>待医生复核</v>
      </c>
      <c r="P29" s="11" t="s">
        <v>238</v>
      </c>
      <c r="Q29" s="11" t="str">
        <f aca="false">IF(P29=O29,"一致","需复核")</f>
        <v>一致</v>
      </c>
      <c r="R29" s="11" t="str">
        <f aca="false">IF(AND(J29=1,M29=0,P29="候选（可制作）"),"待医生签署后可制作",IF(AND(P29="候选（可制作）",M29&gt;0),"禁止发布（风险待改写）","禁止发布"))</f>
        <v>禁止发布</v>
      </c>
      <c r="S29" s="12" t="s">
        <v>269</v>
      </c>
      <c r="T29" s="12" t="s">
        <v>270</v>
      </c>
    </row>
    <row r="30" customFormat="false" ht="34.5" hidden="false" customHeight="true" outlineLevel="0" collapsed="false">
      <c r="A30" s="11" t="s">
        <v>271</v>
      </c>
      <c r="B30" s="11" t="s">
        <v>232</v>
      </c>
      <c r="C30" s="12" t="s">
        <v>272</v>
      </c>
      <c r="D30" s="11" t="s">
        <v>273</v>
      </c>
      <c r="E30" s="12" t="s">
        <v>274</v>
      </c>
      <c r="F30" s="11" t="n">
        <v>3</v>
      </c>
      <c r="G30" s="11" t="s">
        <v>275</v>
      </c>
      <c r="H30" s="11" t="n">
        <f aca="false">IF($F30&gt;=20,2,IF($F30&gt;=10,1,0))</f>
        <v>0</v>
      </c>
      <c r="I30" s="11" t="n">
        <v>0</v>
      </c>
      <c r="J30" s="11" t="n">
        <v>0</v>
      </c>
      <c r="K30" s="12" t="s">
        <v>276</v>
      </c>
      <c r="L30" s="11" t="n">
        <v>1</v>
      </c>
      <c r="M30" s="11" t="n">
        <v>1</v>
      </c>
      <c r="N30" s="11" t="n">
        <f aca="false">MAX(0,MIN(5,SUM(H30:L30)-M30))</f>
        <v>0</v>
      </c>
      <c r="O30" s="11" t="str">
        <f aca="false">IF(M30=1,"待医生复核",IF(AND(J30&lt;1,N30&gt;=2),"待核验",IF(J30&lt;1,"暂缓",IF(N30&gt;=3,"候选（可制作）","暂缓"))))</f>
        <v>待医生复核</v>
      </c>
      <c r="P30" s="11" t="s">
        <v>238</v>
      </c>
      <c r="Q30" s="11" t="str">
        <f aca="false">IF(P30=O30,"一致","需复核")</f>
        <v>一致</v>
      </c>
      <c r="R30" s="11" t="str">
        <f aca="false">IF(AND(J30=1,M30=0,P30="候选（可制作）"),"待医生签署后可制作",IF(AND(P30="候选（可制作）",M30&gt;0),"禁止发布（风险待改写）","禁止发布"))</f>
        <v>禁止发布</v>
      </c>
      <c r="S30" s="12" t="s">
        <v>277</v>
      </c>
      <c r="T30" s="12" t="s">
        <v>278</v>
      </c>
    </row>
    <row r="31" customFormat="false" ht="34.5" hidden="false" customHeight="true" outlineLevel="0" collapsed="false">
      <c r="A31" s="11" t="s">
        <v>279</v>
      </c>
      <c r="B31" s="11" t="s">
        <v>232</v>
      </c>
      <c r="C31" s="12" t="s">
        <v>280</v>
      </c>
      <c r="D31" s="11" t="s">
        <v>281</v>
      </c>
      <c r="E31" s="12" t="s">
        <v>282</v>
      </c>
      <c r="F31" s="11" t="n">
        <v>8</v>
      </c>
      <c r="G31" s="11" t="s">
        <v>176</v>
      </c>
      <c r="H31" s="11" t="n">
        <f aca="false">IF($F31&gt;=20,2,IF($F31&gt;=10,1,0))</f>
        <v>0</v>
      </c>
      <c r="I31" s="11" t="n">
        <v>1</v>
      </c>
      <c r="J31" s="11" t="n">
        <v>0</v>
      </c>
      <c r="K31" s="12" t="s">
        <v>283</v>
      </c>
      <c r="L31" s="11" t="n">
        <v>0</v>
      </c>
      <c r="M31" s="11" t="n">
        <v>0</v>
      </c>
      <c r="N31" s="11" t="n">
        <f aca="false">MAX(0,MIN(5,SUM(H31:L31)-M31))</f>
        <v>1</v>
      </c>
      <c r="O31" s="11" t="str">
        <f aca="false">IF(M31=1,"待医生复核",IF(AND(J31&lt;1,N31&gt;=2),"待核验",IF(J31&lt;1,"暂缓",IF(N31&gt;=3,"候选（可制作）","暂缓"))))</f>
        <v>暂缓</v>
      </c>
      <c r="P31" s="11" t="s">
        <v>169</v>
      </c>
      <c r="Q31" s="11" t="str">
        <f aca="false">IF(P31=O31,"一致","需复核")</f>
        <v>一致</v>
      </c>
      <c r="R31" s="11" t="str">
        <f aca="false">IF(AND(J31=1,M31=0,P31="候选（可制作）"),"待医生签署后可制作",IF(AND(P31="候选（可制作）",M31&gt;0),"禁止发布（风险待改写）","禁止发布"))</f>
        <v>禁止发布</v>
      </c>
      <c r="S31" s="12" t="s">
        <v>284</v>
      </c>
      <c r="T31" s="12"/>
    </row>
    <row r="32" customFormat="false" ht="34.5" hidden="false" customHeight="true" outlineLevel="0" collapsed="false">
      <c r="A32" s="11" t="s">
        <v>285</v>
      </c>
      <c r="B32" s="11" t="s">
        <v>286</v>
      </c>
      <c r="C32" s="12" t="s">
        <v>287</v>
      </c>
      <c r="D32" s="11" t="s">
        <v>288</v>
      </c>
      <c r="E32" s="12" t="s">
        <v>289</v>
      </c>
      <c r="F32" s="11" t="n">
        <v>5</v>
      </c>
      <c r="G32" s="11" t="s">
        <v>290</v>
      </c>
      <c r="H32" s="11" t="n">
        <f aca="false">IF($F32&gt;=20,2,IF($F32&gt;=10,1,0))</f>
        <v>0</v>
      </c>
      <c r="I32" s="11" t="n">
        <v>1</v>
      </c>
      <c r="J32" s="11" t="n">
        <v>0</v>
      </c>
      <c r="K32" s="12" t="s">
        <v>291</v>
      </c>
      <c r="L32" s="11" t="n">
        <v>1</v>
      </c>
      <c r="M32" s="11" t="n">
        <v>1</v>
      </c>
      <c r="N32" s="11" t="n">
        <f aca="false">MAX(0,MIN(5,SUM(H32:L32)-M32))</f>
        <v>1</v>
      </c>
      <c r="O32" s="11" t="str">
        <f aca="false">IF(M32=1,"待医生复核",IF(AND(J32&lt;1,N32&gt;=2),"待核验",IF(J32&lt;1,"暂缓",IF(N32&gt;=3,"候选（可制作）","暂缓"))))</f>
        <v>待医生复核</v>
      </c>
      <c r="P32" s="11" t="s">
        <v>238</v>
      </c>
      <c r="Q32" s="11" t="str">
        <f aca="false">IF(P32=O32,"一致","需复核")</f>
        <v>一致</v>
      </c>
      <c r="R32" s="11" t="str">
        <f aca="false">IF(AND(J32=1,M32=0,P32="候选（可制作）"),"待医生签署后可制作",IF(AND(P32="候选（可制作）",M32&gt;0),"禁止发布（风险待改写）","禁止发布"))</f>
        <v>禁止发布</v>
      </c>
      <c r="S32" s="12" t="s">
        <v>292</v>
      </c>
      <c r="T32" s="12" t="s">
        <v>293</v>
      </c>
    </row>
    <row r="33" customFormat="false" ht="34.5" hidden="false" customHeight="true" outlineLevel="0" collapsed="false">
      <c r="A33" s="11" t="s">
        <v>294</v>
      </c>
      <c r="B33" s="11" t="s">
        <v>286</v>
      </c>
      <c r="C33" s="12" t="s">
        <v>295</v>
      </c>
      <c r="D33" s="11" t="s">
        <v>296</v>
      </c>
      <c r="E33" s="12" t="s">
        <v>297</v>
      </c>
      <c r="F33" s="11" t="n">
        <v>5</v>
      </c>
      <c r="G33" s="11" t="s">
        <v>290</v>
      </c>
      <c r="H33" s="11" t="n">
        <f aca="false">IF($F33&gt;=20,2,IF($F33&gt;=10,1,0))</f>
        <v>0</v>
      </c>
      <c r="I33" s="11" t="n">
        <v>1</v>
      </c>
      <c r="J33" s="11" t="n">
        <v>0</v>
      </c>
      <c r="K33" s="12" t="s">
        <v>298</v>
      </c>
      <c r="L33" s="11" t="n">
        <v>0</v>
      </c>
      <c r="M33" s="11" t="n">
        <v>0</v>
      </c>
      <c r="N33" s="11" t="n">
        <f aca="false">MAX(0,MIN(5,SUM(H33:L33)-M33))</f>
        <v>1</v>
      </c>
      <c r="O33" s="11" t="str">
        <f aca="false">IF(M33=1,"待医生复核",IF(AND(J33&lt;1,N33&gt;=2),"待核验",IF(J33&lt;1,"暂缓",IF(N33&gt;=3,"候选（可制作）","暂缓"))))</f>
        <v>暂缓</v>
      </c>
      <c r="P33" s="11" t="s">
        <v>169</v>
      </c>
      <c r="Q33" s="11" t="str">
        <f aca="false">IF(P33=O33,"一致","需复核")</f>
        <v>一致</v>
      </c>
      <c r="R33" s="11" t="str">
        <f aca="false">IF(AND(J33=1,M33=0,P33="候选（可制作）"),"待医生签署后可制作",IF(AND(P33="候选（可制作）",M33&gt;0),"禁止发布（风险待改写）","禁止发布"))</f>
        <v>禁止发布</v>
      </c>
      <c r="S33" s="12" t="s">
        <v>299</v>
      </c>
      <c r="T33" s="12"/>
    </row>
  </sheetData>
  <autoFilter ref="A3:T33"/>
  <mergeCells count="2">
    <mergeCell ref="A1:T1"/>
    <mergeCell ref="A2:T2"/>
  </mergeCells>
  <conditionalFormatting sqref="F4:F33">
    <cfRule type="colorScale" priority="2">
      <colorScale>
        <cfvo type="min" val="0"/>
        <cfvo type="percentile" val="50"/>
        <cfvo type="max" val="0"/>
        <color rgb="FFFFFFFF"/>
        <color rgb="FFBDD7EE"/>
        <color rgb="FF9DC3E6"/>
      </colorScale>
    </cfRule>
  </conditionalFormatting>
  <conditionalFormatting sqref="N4:N33">
    <cfRule type="colorScale" priority="3">
      <colorScale>
        <cfvo type="num" val="0"/>
        <cfvo type="num" val="2.5"/>
        <cfvo type="num" val="5"/>
        <color rgb="FFFFFFFF"/>
        <color rgb="FFBDD7EE"/>
        <color rgb="FF9DC3E6"/>
      </colorScale>
    </cfRule>
  </conditionalFormatting>
  <conditionalFormatting sqref="M4:M33">
    <cfRule type="colorScale" priority="4">
      <colorScale>
        <cfvo type="num" val="0"/>
        <cfvo type="num" val="0.5"/>
        <cfvo type="num" val="1"/>
        <color rgb="FFFFFFFF"/>
        <color rgb="FFFFE699"/>
        <color rgb="FFF4B183"/>
      </colorScale>
    </cfRule>
  </conditionalFormatting>
  <conditionalFormatting sqref="A4:T33">
    <cfRule type="expression" priority="5" aboveAverage="0" equalAverage="0" bottom="0" percent="0" rank="0" text="" dxfId="31">
      <formula>$P4="待医生复核"</formula>
    </cfRule>
    <cfRule type="expression" priority="6" aboveAverage="0" equalAverage="0" bottom="0" percent="0" rank="0" text="" dxfId="32">
      <formula>$P4="候选（可制作）"</formula>
    </cfRule>
  </conditionalFormatting>
  <dataValidations count="2">
    <dataValidation allowBlank="false" error="请从下拉中选择状态" errorStyle="stop" errorTitle="取值受限" operator="between" prompt="人工判定；与'建议状态'不一致时'一致性校验'会报警" promptTitle="状态" showDropDown="false" showErrorMessage="false" showInputMessage="false" sqref="P4:P33" type="list">
      <formula1>"待医生复核,待核验,候选（可制作）,暂缓"</formula1>
      <formula2>0</formula2>
    </dataValidation>
    <dataValidation allowBlank="false" errorStyle="stop" operator="between" showDropDown="false" showErrorMessage="false" showInputMessage="false" sqref="B4:B33" type="list">
      <formula1>"家庭测量,记录随访,特殊情况,就医沟通"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8.19"/>
    <col collapsed="false" customWidth="true" hidden="false" outlineLevel="0" max="2" min="2" style="0" width="9.1"/>
    <col collapsed="false" customWidth="true" hidden="false" outlineLevel="0" max="3" min="3" style="0" width="27.3"/>
    <col collapsed="false" customWidth="true" hidden="false" outlineLevel="0" max="4" min="4" style="0" width="11.83"/>
    <col collapsed="false" customWidth="true" hidden="false" outlineLevel="0" max="5" min="5" style="0" width="30.93"/>
    <col collapsed="false" customWidth="true" hidden="false" outlineLevel="0" max="8" min="6" style="0" width="7.28"/>
    <col collapsed="false" customWidth="true" hidden="false" outlineLevel="0" max="9" min="9" style="0" width="23.66"/>
    <col collapsed="false" customWidth="true" hidden="false" outlineLevel="0" max="10" min="10" style="0" width="41.85"/>
    <col collapsed="false" customWidth="true" hidden="false" outlineLevel="0" max="11" min="11" style="0" width="12.74"/>
    <col collapsed="false" customWidth="true" hidden="false" outlineLevel="0" max="13" min="12" style="0" width="10.92"/>
    <col collapsed="false" customWidth="true" hidden="false" outlineLevel="0" max="14" min="14" style="0" width="14.56"/>
  </cols>
  <sheetData>
    <row r="1" customFormat="false" ht="27.75" hidden="false" customHeight="true" outlineLevel="0" collapsed="false">
      <c r="A1" s="13" t="s">
        <v>300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customFormat="false" ht="21.75" hidden="false" customHeight="true" outlineLevel="0" collapsed="false">
      <c r="A2" s="9" t="s">
        <v>301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33.75" hidden="false" customHeight="true" outlineLevel="0" collapsed="false">
      <c r="A3" s="14" t="s">
        <v>57</v>
      </c>
      <c r="B3" s="14" t="s">
        <v>18</v>
      </c>
      <c r="C3" s="14" t="s">
        <v>302</v>
      </c>
      <c r="D3" s="14" t="s">
        <v>14</v>
      </c>
      <c r="E3" s="14" t="s">
        <v>59</v>
      </c>
      <c r="F3" s="14" t="s">
        <v>16</v>
      </c>
      <c r="G3" s="14" t="s">
        <v>67</v>
      </c>
      <c r="H3" s="14" t="s">
        <v>303</v>
      </c>
      <c r="I3" s="14" t="s">
        <v>304</v>
      </c>
      <c r="J3" s="14" t="s">
        <v>305</v>
      </c>
      <c r="K3" s="14" t="s">
        <v>306</v>
      </c>
      <c r="L3" s="14" t="s">
        <v>307</v>
      </c>
      <c r="M3" s="14" t="s">
        <v>308</v>
      </c>
      <c r="N3" s="14" t="s">
        <v>309</v>
      </c>
    </row>
    <row r="4" customFormat="false" ht="62.25" hidden="false" customHeight="true" outlineLevel="0" collapsed="false">
      <c r="A4" s="11" t="s">
        <v>231</v>
      </c>
      <c r="B4" s="11" t="str">
        <f aca="false">VLOOKUP($A4,选题总库!$A:$T,2,FALSE())</f>
        <v>特殊情况</v>
      </c>
      <c r="C4" s="12" t="str">
        <f aca="false">VLOOKUP($A4,选题总库!$A:$T,3,FALSE())</f>
        <v>血压正常了能不能停药</v>
      </c>
      <c r="D4" s="11" t="str">
        <f aca="false">VLOOKUP($A4,选题总库!$A:$T,4,FALSE())</f>
        <v>Q12</v>
      </c>
      <c r="E4" s="12" t="str">
        <f aca="false">VLOOKUP($A4,选题总库!$A:$T,5,FALSE())</f>
        <v>Q12「正常了能不能停药」</v>
      </c>
      <c r="F4" s="11" t="n">
        <f aca="false">VLOOKUP($A4,选题总库!$A:$T,6,FALSE())</f>
        <v>1</v>
      </c>
      <c r="G4" s="11" t="n">
        <f aca="false">VLOOKUP($A4,选题总库!$A:$T,14,FALSE())</f>
        <v>2</v>
      </c>
      <c r="H4" s="11" t="n">
        <f aca="false">VLOOKUP($A4,选题总库!$A:$T,13,FALSE())</f>
        <v>1</v>
      </c>
      <c r="I4" s="12" t="s">
        <v>310</v>
      </c>
      <c r="J4" s="12" t="s">
        <v>311</v>
      </c>
      <c r="K4" s="11" t="s">
        <v>312</v>
      </c>
      <c r="L4" s="11"/>
      <c r="M4" s="11"/>
      <c r="N4" s="11" t="str">
        <f aca="false">IF(K4="同意（可制作）","可进入制作（仍需签署）","不可制作")</f>
        <v>不可制作</v>
      </c>
    </row>
    <row r="5" customFormat="false" ht="62.25" hidden="false" customHeight="true" outlineLevel="0" collapsed="false">
      <c r="A5" s="11" t="s">
        <v>241</v>
      </c>
      <c r="B5" s="11" t="str">
        <f aca="false">VLOOKUP($A5,选题总库!$A:$T,2,FALSE())</f>
        <v>特殊情况</v>
      </c>
      <c r="C5" s="12" t="str">
        <f aca="false">VLOOKUP($A5,选题总库!$A:$T,3,FALSE())</f>
        <v>忘了吃药怎么办</v>
      </c>
      <c r="D5" s="11" t="str">
        <f aca="false">VLOOKUP($A5,选题总库!$A:$T,4,FALSE())</f>
        <v>Q13</v>
      </c>
      <c r="E5" s="12" t="str">
        <f aca="false">VLOOKUP($A5,选题总库!$A:$T,5,FALSE())</f>
        <v>Q13「忘了吃药怎么办」</v>
      </c>
      <c r="F5" s="11" t="n">
        <f aca="false">VLOOKUP($A5,选题总库!$A:$T,6,FALSE())</f>
        <v>13</v>
      </c>
      <c r="G5" s="11" t="n">
        <f aca="false">VLOOKUP($A5,选题总库!$A:$T,14,FALSE())</f>
        <v>2</v>
      </c>
      <c r="H5" s="11" t="n">
        <f aca="false">VLOOKUP($A5,选题总库!$A:$T,13,FALSE())</f>
        <v>1</v>
      </c>
      <c r="I5" s="12" t="s">
        <v>313</v>
      </c>
      <c r="J5" s="12" t="s">
        <v>314</v>
      </c>
      <c r="K5" s="11" t="s">
        <v>312</v>
      </c>
      <c r="L5" s="11"/>
      <c r="M5" s="11"/>
      <c r="N5" s="11" t="str">
        <f aca="false">IF(K5="同意（可制作）","可进入制作（仍需签署）","不可制作")</f>
        <v>不可制作</v>
      </c>
    </row>
    <row r="6" customFormat="false" ht="75.75" hidden="false" customHeight="true" outlineLevel="0" collapsed="false">
      <c r="A6" s="11" t="s">
        <v>256</v>
      </c>
      <c r="B6" s="11" t="str">
        <f aca="false">VLOOKUP($A6,选题总库!$A:$T,2,FALSE())</f>
        <v>特殊情况</v>
      </c>
      <c r="C6" s="12" t="str">
        <f aca="false">VLOOKUP($A6,选题总库!$A:$T,3,FALSE())</f>
        <v>头晕但数字正常怎么办</v>
      </c>
      <c r="D6" s="11" t="str">
        <f aca="false">VLOOKUP($A6,选题总库!$A:$T,4,FALSE())</f>
        <v>Q26</v>
      </c>
      <c r="E6" s="12" t="str">
        <f aca="false">VLOOKUP($A6,选题总库!$A:$T,5,FALSE())</f>
        <v>Q26「头晕但数字正常怎么办」</v>
      </c>
      <c r="F6" s="11" t="n">
        <f aca="false">VLOOKUP($A6,选题总库!$A:$T,6,FALSE())</f>
        <v>9</v>
      </c>
      <c r="G6" s="11" t="n">
        <f aca="false">VLOOKUP($A6,选题总库!$A:$T,14,FALSE())</f>
        <v>0</v>
      </c>
      <c r="H6" s="11" t="n">
        <f aca="false">VLOOKUP($A6,选题总库!$A:$T,13,FALSE())</f>
        <v>1</v>
      </c>
      <c r="I6" s="12" t="s">
        <v>315</v>
      </c>
      <c r="J6" s="12" t="s">
        <v>316</v>
      </c>
      <c r="K6" s="11" t="s">
        <v>312</v>
      </c>
      <c r="L6" s="11"/>
      <c r="M6" s="11"/>
      <c r="N6" s="11" t="str">
        <f aca="false">IF(K6="同意（可制作）","可进入制作（仍需签署）","不可制作")</f>
        <v>不可制作</v>
      </c>
    </row>
    <row r="7" customFormat="false" ht="62.25" hidden="false" customHeight="true" outlineLevel="0" collapsed="false">
      <c r="A7" s="11" t="s">
        <v>264</v>
      </c>
      <c r="B7" s="11" t="str">
        <f aca="false">VLOOKUP($A7,选题总库!$A:$T,2,FALSE())</f>
        <v>特殊情况</v>
      </c>
      <c r="C7" s="12" t="str">
        <f aca="false">VLOOKUP($A7,选题总库!$A:$T,3,FALSE())</f>
        <v>怀孕后还能用同一个设备吗</v>
      </c>
      <c r="D7" s="11" t="str">
        <f aca="false">VLOOKUP($A7,选题总库!$A:$T,4,FALSE())</f>
        <v>Q33</v>
      </c>
      <c r="E7" s="12" t="str">
        <f aca="false">VLOOKUP($A7,选题总库!$A:$T,5,FALSE())</f>
        <v>Q33「怀孕后还能用同一个设备吗」</v>
      </c>
      <c r="F7" s="11" t="n">
        <f aca="false">VLOOKUP($A7,选题总库!$A:$T,6,FALSE())</f>
        <v>14</v>
      </c>
      <c r="G7" s="11" t="n">
        <f aca="false">VLOOKUP($A7,选题总库!$A:$T,14,FALSE())</f>
        <v>1</v>
      </c>
      <c r="H7" s="11" t="n">
        <f aca="false">VLOOKUP($A7,选题总库!$A:$T,13,FALSE())</f>
        <v>1</v>
      </c>
      <c r="I7" s="12" t="s">
        <v>317</v>
      </c>
      <c r="J7" s="12" t="s">
        <v>318</v>
      </c>
      <c r="K7" s="11" t="s">
        <v>312</v>
      </c>
      <c r="L7" s="11"/>
      <c r="M7" s="11"/>
      <c r="N7" s="11" t="str">
        <f aca="false">IF(K7="同意（可制作）","可进入制作（仍需签署）","不可制作")</f>
        <v>不可制作</v>
      </c>
    </row>
    <row r="8" customFormat="false" ht="62.25" hidden="false" customHeight="true" outlineLevel="0" collapsed="false">
      <c r="A8" s="11" t="s">
        <v>271</v>
      </c>
      <c r="B8" s="11" t="str">
        <f aca="false">VLOOKUP($A8,选题总库!$A:$T,2,FALSE())</f>
        <v>特殊情况</v>
      </c>
      <c r="C8" s="12" t="str">
        <f aca="false">VLOOKUP($A8,选题总库!$A:$T,3,FALSE())</f>
        <v>小孩可以用成人袖带吗</v>
      </c>
      <c r="D8" s="11" t="str">
        <f aca="false">VLOOKUP($A8,选题总库!$A:$T,4,FALSE())</f>
        <v>Q34</v>
      </c>
      <c r="E8" s="12" t="str">
        <f aca="false">VLOOKUP($A8,选题总库!$A:$T,5,FALSE())</f>
        <v>Q34「小孩可以用成人袖带吗」</v>
      </c>
      <c r="F8" s="11" t="n">
        <f aca="false">VLOOKUP($A8,选题总库!$A:$T,6,FALSE())</f>
        <v>3</v>
      </c>
      <c r="G8" s="11" t="n">
        <f aca="false">VLOOKUP($A8,选题总库!$A:$T,14,FALSE())</f>
        <v>0</v>
      </c>
      <c r="H8" s="11" t="n">
        <f aca="false">VLOOKUP($A8,选题总库!$A:$T,13,FALSE())</f>
        <v>1</v>
      </c>
      <c r="I8" s="12" t="s">
        <v>319</v>
      </c>
      <c r="J8" s="12" t="s">
        <v>320</v>
      </c>
      <c r="K8" s="11" t="s">
        <v>312</v>
      </c>
      <c r="L8" s="11"/>
      <c r="M8" s="11"/>
      <c r="N8" s="11" t="str">
        <f aca="false">IF(K8="同意（可制作）","可进入制作（仍需签署）","不可制作")</f>
        <v>不可制作</v>
      </c>
    </row>
    <row r="9" customFormat="false" ht="62.25" hidden="false" customHeight="true" outlineLevel="0" collapsed="false">
      <c r="A9" s="11" t="s">
        <v>285</v>
      </c>
      <c r="B9" s="11" t="str">
        <f aca="false">VLOOKUP($A9,选题总库!$A:$T,2,FALSE())</f>
        <v>就医沟通</v>
      </c>
      <c r="C9" s="12" t="str">
        <f aca="false">VLOOKUP($A9,选题总库!$A:$T,3,FALSE())</f>
        <v>医生说的目标值和网上不一样怎么办</v>
      </c>
      <c r="D9" s="11" t="str">
        <f aca="false">VLOOKUP($A9,选题总库!$A:$T,4,FALSE())</f>
        <v>Q36</v>
      </c>
      <c r="E9" s="12" t="str">
        <f aca="false">VLOOKUP($A9,选题总库!$A:$T,5,FALSE())</f>
        <v>Q36「医生说的目标值和网上不同怎么办」</v>
      </c>
      <c r="F9" s="11" t="n">
        <f aca="false">VLOOKUP($A9,选题总库!$A:$T,6,FALSE())</f>
        <v>5</v>
      </c>
      <c r="G9" s="11" t="n">
        <f aca="false">VLOOKUP($A9,选题总库!$A:$T,14,FALSE())</f>
        <v>1</v>
      </c>
      <c r="H9" s="11" t="n">
        <f aca="false">VLOOKUP($A9,选题总库!$A:$T,13,FALSE())</f>
        <v>1</v>
      </c>
      <c r="I9" s="12" t="s">
        <v>321</v>
      </c>
      <c r="J9" s="12" t="s">
        <v>322</v>
      </c>
      <c r="K9" s="11" t="s">
        <v>312</v>
      </c>
      <c r="L9" s="11"/>
      <c r="M9" s="11"/>
      <c r="N9" s="11" t="str">
        <f aca="false">IF(K9="同意（可制作）","可进入制作（仍需签署）","不可制作")</f>
        <v>不可制作</v>
      </c>
    </row>
  </sheetData>
  <autoFilter ref="A3:N9"/>
  <mergeCells count="2">
    <mergeCell ref="A1:N1"/>
    <mergeCell ref="A2:N2"/>
  </mergeCells>
  <conditionalFormatting sqref="A4:N9">
    <cfRule type="expression" priority="2" aboveAverage="0" equalAverage="0" bottom="0" percent="0" rank="0" text="" dxfId="31">
      <formula>$K4="待复核"</formula>
    </cfRule>
    <cfRule type="expression" priority="3" aboveAverage="0" equalAverage="0" bottom="0" percent="0" rank="0" text="" dxfId="32">
      <formula>$K4="同意（可制作）"</formula>
    </cfRule>
  </conditionalFormatting>
  <dataValidations count="2">
    <dataValidation allowBlank="false" errorStyle="stop" operator="between" showDropDown="false" showErrorMessage="false" showInputMessage="false" sqref="K4:K9" type="list">
      <formula1>"待复核,同意（可制作）,需修改,不予采用"</formula1>
      <formula2>0</formula2>
    </dataValidation>
    <dataValidation allowBlank="true" errorStyle="stop" operator="greaterThan" showDropDown="false" showErrorMessage="false" showInputMessage="false" sqref="M4:M9" type="date">
      <formula1>DATE(2026,1,1)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.73"/>
    <col collapsed="false" customWidth="true" hidden="false" outlineLevel="0" max="2" min="2" style="0" width="14.56"/>
    <col collapsed="false" customWidth="true" hidden="false" outlineLevel="0" max="3" min="3" style="0" width="9.1"/>
    <col collapsed="false" customWidth="true" hidden="false" outlineLevel="0" max="8" min="4" style="0" width="10.92"/>
    <col collapsed="false" customWidth="true" hidden="false" outlineLevel="0" max="10" min="9" style="0" width="12.74"/>
  </cols>
  <sheetData>
    <row r="2" customFormat="false" ht="25.5" hidden="false" customHeight="true" outlineLevel="0" collapsed="false">
      <c r="B2" s="15" t="s">
        <v>323</v>
      </c>
      <c r="C2" s="15"/>
      <c r="D2" s="15"/>
      <c r="E2" s="15"/>
      <c r="F2" s="15"/>
      <c r="G2" s="15"/>
      <c r="H2" s="15"/>
      <c r="I2" s="15"/>
      <c r="J2" s="15"/>
    </row>
    <row r="3" customFormat="false" ht="15" hidden="false" customHeight="true" outlineLevel="0" collapsed="false">
      <c r="B3" s="16" t="s">
        <v>324</v>
      </c>
      <c r="C3" s="16"/>
      <c r="D3" s="16"/>
      <c r="E3" s="16"/>
      <c r="F3" s="16"/>
      <c r="G3" s="16"/>
      <c r="H3" s="16"/>
      <c r="I3" s="16"/>
      <c r="J3" s="16"/>
    </row>
    <row r="5" customFormat="false" ht="30" hidden="false" customHeight="true" outlineLevel="0" collapsed="false">
      <c r="B5" s="10" t="s">
        <v>18</v>
      </c>
      <c r="C5" s="10" t="s">
        <v>43</v>
      </c>
      <c r="D5" s="10" t="s">
        <v>325</v>
      </c>
      <c r="E5" s="10" t="s">
        <v>326</v>
      </c>
      <c r="F5" s="10" t="s">
        <v>327</v>
      </c>
      <c r="G5" s="10" t="s">
        <v>81</v>
      </c>
      <c r="H5" s="10" t="s">
        <v>103</v>
      </c>
      <c r="I5" s="10" t="s">
        <v>238</v>
      </c>
      <c r="J5" s="10" t="s">
        <v>169</v>
      </c>
    </row>
    <row r="6" customFormat="false" ht="24" hidden="false" customHeight="true" outlineLevel="0" collapsed="false">
      <c r="B6" s="12" t="s">
        <v>75</v>
      </c>
      <c r="C6" s="11" t="n">
        <f aca="false">COUNTIF(选题总库!$B$4:$B$33,$B6)</f>
        <v>16</v>
      </c>
      <c r="D6" s="11" t="n">
        <f aca="false">SUMIF(选题总库!$B$4:$B$33,$B6,选题总库!$F$4:$F$33)</f>
        <v>216</v>
      </c>
      <c r="E6" s="11" t="n">
        <f aca="false">IFERROR(ROUND(AVERAGEIF(选题总库!$B$4:$B$33,$B6,选题总库!$N$4:$N$33),2),"-")</f>
        <v>3.38</v>
      </c>
      <c r="F6" s="11" t="n">
        <f aca="false">IFERROR(SUMPRODUCT(MAX((选题总库!$B$4:$B$33=$B6)*(选题总库!$N$4:$N$33))),"-")</f>
        <v>5</v>
      </c>
      <c r="G6" s="11" t="n">
        <f aca="false">COUNTIFS(选题总库!$B$4:$B$33,$B6,选题总库!$P$4:$P$33,"候选（可制作）")</f>
        <v>8</v>
      </c>
      <c r="H6" s="11" t="n">
        <f aca="false">COUNTIFS(选题总库!$B$4:$B$33,$B6,选题总库!$P$4:$P$33,"待核验")</f>
        <v>6</v>
      </c>
      <c r="I6" s="11" t="n">
        <f aca="false">COUNTIFS(选题总库!$B$4:$B$33,$B6,选题总库!$P$4:$P$33,"待医生复核")</f>
        <v>0</v>
      </c>
      <c r="J6" s="11" t="n">
        <f aca="false">COUNTIFS(选题总库!$B$4:$B$33,$B6,选题总库!$P$4:$P$33,"暂缓")</f>
        <v>2</v>
      </c>
    </row>
    <row r="7" customFormat="false" ht="24" hidden="false" customHeight="true" outlineLevel="0" collapsed="false">
      <c r="B7" s="12" t="s">
        <v>196</v>
      </c>
      <c r="C7" s="11" t="n">
        <f aca="false">COUNTIF(选题总库!$B$4:$B$33,$B7)</f>
        <v>5</v>
      </c>
      <c r="D7" s="11" t="n">
        <f aca="false">SUMIF(选题总库!$B$4:$B$33,$B7,选题总库!$F$4:$F$33)</f>
        <v>64</v>
      </c>
      <c r="E7" s="11" t="n">
        <f aca="false">IFERROR(ROUND(AVERAGEIF(选题总库!$B$4:$B$33,$B7,选题总库!$N$4:$N$33),2),"-")</f>
        <v>2.6</v>
      </c>
      <c r="F7" s="11" t="n">
        <f aca="false">IFERROR(SUMPRODUCT(MAX((选题总库!$B$4:$B$33=$B7)*(选题总库!$N$4:$N$33))),"-")</f>
        <v>4</v>
      </c>
      <c r="G7" s="11" t="n">
        <f aca="false">COUNTIFS(选题总库!$B$4:$B$33,$B7,选题总库!$P$4:$P$33,"候选（可制作）")</f>
        <v>1</v>
      </c>
      <c r="H7" s="11" t="n">
        <f aca="false">COUNTIFS(选题总库!$B$4:$B$33,$B7,选题总库!$P$4:$P$33,"待核验")</f>
        <v>3</v>
      </c>
      <c r="I7" s="11" t="n">
        <f aca="false">COUNTIFS(选题总库!$B$4:$B$33,$B7,选题总库!$P$4:$P$33,"待医生复核")</f>
        <v>0</v>
      </c>
      <c r="J7" s="11" t="n">
        <f aca="false">COUNTIFS(选题总库!$B$4:$B$33,$B7,选题总库!$P$4:$P$33,"暂缓")</f>
        <v>1</v>
      </c>
    </row>
    <row r="8" customFormat="false" ht="24" hidden="false" customHeight="true" outlineLevel="0" collapsed="false">
      <c r="B8" s="12" t="s">
        <v>232</v>
      </c>
      <c r="C8" s="11" t="n">
        <f aca="false">COUNTIF(选题总库!$B$4:$B$33,$B8)</f>
        <v>7</v>
      </c>
      <c r="D8" s="11" t="n">
        <f aca="false">SUMIF(选题总库!$B$4:$B$33,$B8,选题总库!$F$4:$F$33)</f>
        <v>63</v>
      </c>
      <c r="E8" s="11" t="n">
        <f aca="false">IFERROR(ROUND(AVERAGEIF(选题总库!$B$4:$B$33,$B8,选题总库!$N$4:$N$33),2),"-")</f>
        <v>1.21</v>
      </c>
      <c r="F8" s="11" t="n">
        <f aca="false">IFERROR(SUMPRODUCT(MAX((选题总库!$B$4:$B$33=$B8)*(选题总库!$N$4:$N$33))),"-")</f>
        <v>2.5</v>
      </c>
      <c r="G8" s="11" t="n">
        <f aca="false">COUNTIFS(选题总库!$B$4:$B$33,$B8,选题总库!$P$4:$P$33,"候选（可制作）")</f>
        <v>0</v>
      </c>
      <c r="H8" s="11" t="n">
        <f aca="false">COUNTIFS(选题总库!$B$4:$B$33,$B8,选题总库!$P$4:$P$33,"待核验")</f>
        <v>1</v>
      </c>
      <c r="I8" s="11" t="n">
        <f aca="false">COUNTIFS(选题总库!$B$4:$B$33,$B8,选题总库!$P$4:$P$33,"待医生复核")</f>
        <v>5</v>
      </c>
      <c r="J8" s="11" t="n">
        <f aca="false">COUNTIFS(选题总库!$B$4:$B$33,$B8,选题总库!$P$4:$P$33,"暂缓")</f>
        <v>1</v>
      </c>
    </row>
    <row r="9" customFormat="false" ht="24" hidden="false" customHeight="true" outlineLevel="0" collapsed="false">
      <c r="B9" s="12" t="s">
        <v>286</v>
      </c>
      <c r="C9" s="11" t="n">
        <f aca="false">COUNTIF(选题总库!$B$4:$B$33,$B9)</f>
        <v>2</v>
      </c>
      <c r="D9" s="11" t="n">
        <f aca="false">SUMIF(选题总库!$B$4:$B$33,$B9,选题总库!$F$4:$F$33)</f>
        <v>10</v>
      </c>
      <c r="E9" s="11" t="n">
        <f aca="false">IFERROR(ROUND(AVERAGEIF(选题总库!$B$4:$B$33,$B9,选题总库!$N$4:$N$33),2),"-")</f>
        <v>1</v>
      </c>
      <c r="F9" s="11" t="n">
        <f aca="false">IFERROR(SUMPRODUCT(MAX((选题总库!$B$4:$B$33=$B9)*(选题总库!$N$4:$N$33))),"-")</f>
        <v>1</v>
      </c>
      <c r="G9" s="11" t="n">
        <f aca="false">COUNTIFS(选题总库!$B$4:$B$33,$B9,选题总库!$P$4:$P$33,"候选（可制作）")</f>
        <v>0</v>
      </c>
      <c r="H9" s="11" t="n">
        <f aca="false">COUNTIFS(选题总库!$B$4:$B$33,$B9,选题总库!$P$4:$P$33,"待核验")</f>
        <v>0</v>
      </c>
      <c r="I9" s="11" t="n">
        <f aca="false">COUNTIFS(选题总库!$B$4:$B$33,$B9,选题总库!$P$4:$P$33,"待医生复核")</f>
        <v>1</v>
      </c>
      <c r="J9" s="11" t="n">
        <f aca="false">COUNTIFS(选题总库!$B$4:$B$33,$B9,选题总库!$P$4:$P$33,"暂缓")</f>
        <v>1</v>
      </c>
    </row>
    <row r="10" customFormat="false" ht="15" hidden="false" customHeight="false" outlineLevel="0" collapsed="false">
      <c r="B10" s="17" t="s">
        <v>31</v>
      </c>
      <c r="C10" s="18" t="n">
        <f aca="false">SUM(C6:C9)</f>
        <v>30</v>
      </c>
      <c r="D10" s="18" t="n">
        <f aca="false">SUM(D6:D9)</f>
        <v>353</v>
      </c>
      <c r="E10" s="18" t="n">
        <f aca="false">IFERROR(ROUND(AVERAGE(选题总库!$N$4:$N$33),2),"-")</f>
        <v>2.58</v>
      </c>
      <c r="F10" s="18" t="n">
        <f aca="false">MAX(选题总库!$N$4:$N$33)</f>
        <v>5</v>
      </c>
      <c r="G10" s="18" t="n">
        <f aca="false">SUM(G6:G9)</f>
        <v>9</v>
      </c>
      <c r="H10" s="18" t="n">
        <f aca="false">SUM(H6:H9)</f>
        <v>10</v>
      </c>
      <c r="I10" s="18" t="n">
        <f aca="false">SUM(I6:I9)</f>
        <v>6</v>
      </c>
      <c r="J10" s="18" t="n">
        <f aca="false">SUM(J6:J9)</f>
        <v>5</v>
      </c>
    </row>
    <row r="12" customFormat="false" ht="17.15" hidden="false" customHeight="false" outlineLevel="0" collapsed="false">
      <c r="B12" s="19" t="s">
        <v>328</v>
      </c>
      <c r="C12" s="19"/>
      <c r="D12" s="19"/>
    </row>
    <row r="13" customFormat="false" ht="15" hidden="false" customHeight="false" outlineLevel="0" collapsed="false">
      <c r="B13" s="20" t="s">
        <v>329</v>
      </c>
      <c r="C13" s="11" t="n">
        <f aca="false">COUNTIF(选题总库!$J$4:$J$33,1)</f>
        <v>10</v>
      </c>
    </row>
    <row r="14" customFormat="false" ht="15" hidden="false" customHeight="false" outlineLevel="0" collapsed="false">
      <c r="B14" s="20" t="s">
        <v>330</v>
      </c>
      <c r="C14" s="11" t="n">
        <f aca="false">COUNTIF(选题总库!$J$4:$J$33,0.5)</f>
        <v>5</v>
      </c>
    </row>
    <row r="15" customFormat="false" ht="15" hidden="false" customHeight="false" outlineLevel="0" collapsed="false">
      <c r="B15" s="20" t="s">
        <v>331</v>
      </c>
      <c r="C15" s="11" t="n">
        <f aca="false">COUNTIF(选题总库!$J$4:$J$33,0)</f>
        <v>15</v>
      </c>
    </row>
    <row r="16" customFormat="false" ht="15" hidden="false" customHeight="false" outlineLevel="0" collapsed="false">
      <c r="B16" s="21" t="s">
        <v>332</v>
      </c>
    </row>
  </sheetData>
  <mergeCells count="3">
    <mergeCell ref="B2:J2"/>
    <mergeCell ref="B3:J3"/>
    <mergeCell ref="B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8.19"/>
    <col collapsed="false" customWidth="true" hidden="false" outlineLevel="0" max="2" min="2" style="0" width="40.03"/>
    <col collapsed="false" customWidth="true" hidden="false" outlineLevel="0" max="3" min="3" style="0" width="9.1"/>
    <col collapsed="false" customWidth="true" hidden="false" outlineLevel="0" max="5" min="4" style="0" width="10.92"/>
    <col collapsed="false" customWidth="true" hidden="false" outlineLevel="0" max="6" min="6" style="0" width="23.66"/>
    <col collapsed="false" customWidth="true" hidden="false" outlineLevel="0" max="7" min="7" style="0" width="27.3"/>
  </cols>
  <sheetData>
    <row r="1" customFormat="false" ht="27.75" hidden="false" customHeight="true" outlineLevel="0" collapsed="false">
      <c r="A1" s="22" t="s">
        <v>333</v>
      </c>
      <c r="B1" s="22"/>
      <c r="C1" s="22"/>
      <c r="D1" s="22"/>
      <c r="E1" s="22"/>
      <c r="F1" s="22"/>
      <c r="G1" s="22"/>
    </row>
    <row r="2" customFormat="false" ht="30" hidden="false" customHeight="true" outlineLevel="0" collapsed="false">
      <c r="A2" s="10" t="s">
        <v>334</v>
      </c>
      <c r="B2" s="10" t="s">
        <v>335</v>
      </c>
      <c r="C2" s="10" t="s">
        <v>336</v>
      </c>
      <c r="D2" s="10" t="s">
        <v>337</v>
      </c>
      <c r="E2" s="10" t="s">
        <v>18</v>
      </c>
      <c r="F2" s="10" t="s">
        <v>338</v>
      </c>
      <c r="G2" s="10" t="s">
        <v>339</v>
      </c>
    </row>
    <row r="3" customFormat="false" ht="21.75" hidden="false" customHeight="true" outlineLevel="0" collapsed="false">
      <c r="A3" s="11" t="s">
        <v>340</v>
      </c>
      <c r="B3" s="12" t="s">
        <v>341</v>
      </c>
      <c r="C3" s="11" t="n">
        <v>8</v>
      </c>
      <c r="D3" s="11" t="s">
        <v>74</v>
      </c>
      <c r="E3" s="11" t="s">
        <v>75</v>
      </c>
      <c r="F3" s="12" t="s">
        <v>342</v>
      </c>
      <c r="G3" s="12" t="s">
        <v>343</v>
      </c>
    </row>
    <row r="4" customFormat="false" ht="21.75" hidden="false" customHeight="true" outlineLevel="0" collapsed="false">
      <c r="A4" s="11" t="s">
        <v>344</v>
      </c>
      <c r="B4" s="12" t="s">
        <v>345</v>
      </c>
      <c r="C4" s="11" t="n">
        <v>18</v>
      </c>
      <c r="D4" s="11" t="s">
        <v>83</v>
      </c>
      <c r="E4" s="11" t="s">
        <v>75</v>
      </c>
      <c r="F4" s="12" t="s">
        <v>346</v>
      </c>
      <c r="G4" s="12" t="s">
        <v>343</v>
      </c>
    </row>
    <row r="5" customFormat="false" ht="21.75" hidden="false" customHeight="true" outlineLevel="0" collapsed="false">
      <c r="A5" s="11" t="s">
        <v>347</v>
      </c>
      <c r="B5" s="12" t="s">
        <v>348</v>
      </c>
      <c r="C5" s="11" t="n">
        <v>2</v>
      </c>
      <c r="D5" s="11" t="s">
        <v>83</v>
      </c>
      <c r="E5" s="11" t="s">
        <v>75</v>
      </c>
      <c r="F5" s="12" t="s">
        <v>346</v>
      </c>
      <c r="G5" s="12" t="s">
        <v>343</v>
      </c>
    </row>
    <row r="6" customFormat="false" ht="21.75" hidden="false" customHeight="true" outlineLevel="0" collapsed="false">
      <c r="A6" s="11" t="s">
        <v>349</v>
      </c>
      <c r="B6" s="12" t="s">
        <v>350</v>
      </c>
      <c r="C6" s="11" t="n">
        <v>6</v>
      </c>
      <c r="D6" s="11" t="s">
        <v>90</v>
      </c>
      <c r="E6" s="11" t="s">
        <v>75</v>
      </c>
      <c r="F6" s="12" t="s">
        <v>351</v>
      </c>
      <c r="G6" s="12" t="s">
        <v>343</v>
      </c>
    </row>
    <row r="7" customFormat="false" ht="21.75" hidden="false" customHeight="true" outlineLevel="0" collapsed="false">
      <c r="A7" s="11" t="s">
        <v>99</v>
      </c>
      <c r="B7" s="12" t="s">
        <v>352</v>
      </c>
      <c r="C7" s="11" t="n">
        <v>4</v>
      </c>
      <c r="D7" s="11" t="s">
        <v>97</v>
      </c>
      <c r="E7" s="11" t="s">
        <v>75</v>
      </c>
      <c r="F7" s="12" t="s">
        <v>353</v>
      </c>
      <c r="G7" s="12" t="s">
        <v>354</v>
      </c>
    </row>
    <row r="8" customFormat="false" ht="21.75" hidden="false" customHeight="true" outlineLevel="0" collapsed="false">
      <c r="A8" s="11" t="s">
        <v>355</v>
      </c>
      <c r="B8" s="12" t="s">
        <v>356</v>
      </c>
      <c r="C8" s="11" t="n">
        <v>15</v>
      </c>
      <c r="D8" s="11" t="s">
        <v>106</v>
      </c>
      <c r="E8" s="11" t="s">
        <v>75</v>
      </c>
      <c r="F8" s="12" t="s">
        <v>357</v>
      </c>
      <c r="G8" s="12" t="s">
        <v>343</v>
      </c>
    </row>
    <row r="9" customFormat="false" ht="21.75" hidden="false" customHeight="true" outlineLevel="0" collapsed="false">
      <c r="A9" s="11" t="s">
        <v>116</v>
      </c>
      <c r="B9" s="12" t="s">
        <v>358</v>
      </c>
      <c r="C9" s="11" t="n">
        <v>13</v>
      </c>
      <c r="D9" s="11" t="s">
        <v>114</v>
      </c>
      <c r="E9" s="11" t="s">
        <v>75</v>
      </c>
      <c r="F9" s="12" t="s">
        <v>353</v>
      </c>
      <c r="G9" s="12" t="s">
        <v>354</v>
      </c>
    </row>
    <row r="10" customFormat="false" ht="21.75" hidden="false" customHeight="true" outlineLevel="0" collapsed="false">
      <c r="A10" s="11" t="s">
        <v>359</v>
      </c>
      <c r="B10" s="12" t="s">
        <v>360</v>
      </c>
      <c r="C10" s="11" t="n">
        <v>14</v>
      </c>
      <c r="D10" s="11" t="s">
        <v>121</v>
      </c>
      <c r="E10" s="11" t="s">
        <v>75</v>
      </c>
      <c r="F10" s="12" t="s">
        <v>361</v>
      </c>
      <c r="G10" s="12" t="s">
        <v>343</v>
      </c>
    </row>
    <row r="11" customFormat="false" ht="21.75" hidden="false" customHeight="true" outlineLevel="0" collapsed="false">
      <c r="A11" s="11" t="s">
        <v>362</v>
      </c>
      <c r="B11" s="12" t="s">
        <v>363</v>
      </c>
      <c r="C11" s="11" t="n">
        <v>11</v>
      </c>
      <c r="D11" s="11" t="s">
        <v>121</v>
      </c>
      <c r="E11" s="11" t="s">
        <v>75</v>
      </c>
      <c r="F11" s="12" t="s">
        <v>361</v>
      </c>
      <c r="G11" s="12" t="s">
        <v>343</v>
      </c>
    </row>
    <row r="12" customFormat="false" ht="21.75" hidden="false" customHeight="true" outlineLevel="0" collapsed="false">
      <c r="A12" s="11" t="s">
        <v>131</v>
      </c>
      <c r="B12" s="12" t="s">
        <v>130</v>
      </c>
      <c r="C12" s="11" t="n">
        <v>16</v>
      </c>
      <c r="D12" s="11" t="s">
        <v>129</v>
      </c>
      <c r="E12" s="11" t="s">
        <v>75</v>
      </c>
      <c r="F12" s="12" t="s">
        <v>353</v>
      </c>
      <c r="G12" s="12" t="s">
        <v>354</v>
      </c>
    </row>
    <row r="13" customFormat="false" ht="21.75" hidden="false" customHeight="true" outlineLevel="0" collapsed="false">
      <c r="A13" s="11" t="s">
        <v>198</v>
      </c>
      <c r="B13" s="12" t="s">
        <v>197</v>
      </c>
      <c r="C13" s="11" t="n">
        <v>12</v>
      </c>
      <c r="D13" s="11" t="s">
        <v>195</v>
      </c>
      <c r="E13" s="11" t="s">
        <v>196</v>
      </c>
      <c r="F13" s="12" t="s">
        <v>353</v>
      </c>
      <c r="G13" s="12" t="s">
        <v>354</v>
      </c>
    </row>
    <row r="14" customFormat="false" ht="21.75" hidden="false" customHeight="true" outlineLevel="0" collapsed="false">
      <c r="A14" s="11" t="s">
        <v>234</v>
      </c>
      <c r="B14" s="12" t="s">
        <v>364</v>
      </c>
      <c r="C14" s="11" t="n">
        <v>1</v>
      </c>
      <c r="D14" s="11" t="s">
        <v>231</v>
      </c>
      <c r="E14" s="11" t="s">
        <v>232</v>
      </c>
      <c r="F14" s="12" t="s">
        <v>353</v>
      </c>
      <c r="G14" s="12" t="s">
        <v>354</v>
      </c>
    </row>
    <row r="15" customFormat="false" ht="21.75" hidden="false" customHeight="true" outlineLevel="0" collapsed="false">
      <c r="A15" s="11" t="s">
        <v>243</v>
      </c>
      <c r="B15" s="12" t="s">
        <v>242</v>
      </c>
      <c r="C15" s="11" t="n">
        <v>13</v>
      </c>
      <c r="D15" s="11" t="s">
        <v>241</v>
      </c>
      <c r="E15" s="11" t="s">
        <v>232</v>
      </c>
      <c r="F15" s="12" t="s">
        <v>353</v>
      </c>
      <c r="G15" s="12" t="s">
        <v>354</v>
      </c>
    </row>
    <row r="16" customFormat="false" ht="21.75" hidden="false" customHeight="true" outlineLevel="0" collapsed="false">
      <c r="A16" s="11" t="s">
        <v>139</v>
      </c>
      <c r="B16" s="12" t="s">
        <v>138</v>
      </c>
      <c r="C16" s="11" t="n">
        <v>6</v>
      </c>
      <c r="D16" s="11" t="s">
        <v>137</v>
      </c>
      <c r="E16" s="11" t="s">
        <v>75</v>
      </c>
      <c r="F16" s="12" t="s">
        <v>353</v>
      </c>
      <c r="G16" s="12" t="s">
        <v>354</v>
      </c>
    </row>
    <row r="17" customFormat="false" ht="21.75" hidden="false" customHeight="true" outlineLevel="0" collapsed="false">
      <c r="A17" s="11" t="s">
        <v>365</v>
      </c>
      <c r="B17" s="12" t="s">
        <v>366</v>
      </c>
      <c r="C17" s="11" t="n">
        <v>2</v>
      </c>
      <c r="D17" s="11" t="s">
        <v>74</v>
      </c>
      <c r="E17" s="11" t="s">
        <v>75</v>
      </c>
      <c r="F17" s="12" t="s">
        <v>342</v>
      </c>
      <c r="G17" s="12" t="s">
        <v>343</v>
      </c>
    </row>
    <row r="18" customFormat="false" ht="21.75" hidden="false" customHeight="true" outlineLevel="0" collapsed="false">
      <c r="A18" s="11" t="s">
        <v>147</v>
      </c>
      <c r="B18" s="12" t="s">
        <v>146</v>
      </c>
      <c r="C18" s="11" t="n">
        <v>16</v>
      </c>
      <c r="D18" s="11" t="s">
        <v>145</v>
      </c>
      <c r="E18" s="11" t="s">
        <v>75</v>
      </c>
      <c r="F18" s="12" t="s">
        <v>353</v>
      </c>
      <c r="G18" s="12" t="s">
        <v>354</v>
      </c>
    </row>
    <row r="19" customFormat="false" ht="21.75" hidden="false" customHeight="true" outlineLevel="0" collapsed="false">
      <c r="A19" s="11" t="s">
        <v>367</v>
      </c>
      <c r="B19" s="12" t="s">
        <v>368</v>
      </c>
      <c r="C19" s="11" t="n">
        <v>8</v>
      </c>
      <c r="D19" s="11" t="s">
        <v>151</v>
      </c>
      <c r="E19" s="11" t="s">
        <v>75</v>
      </c>
      <c r="F19" s="12" t="s">
        <v>369</v>
      </c>
      <c r="G19" s="12" t="s">
        <v>343</v>
      </c>
    </row>
    <row r="20" customFormat="false" ht="21.75" hidden="false" customHeight="true" outlineLevel="0" collapsed="false">
      <c r="A20" s="11" t="s">
        <v>370</v>
      </c>
      <c r="B20" s="12" t="s">
        <v>371</v>
      </c>
      <c r="C20" s="11" t="n">
        <v>2</v>
      </c>
      <c r="D20" s="11" t="s">
        <v>151</v>
      </c>
      <c r="E20" s="11" t="s">
        <v>75</v>
      </c>
      <c r="F20" s="12" t="s">
        <v>369</v>
      </c>
      <c r="G20" s="12" t="s">
        <v>343</v>
      </c>
    </row>
    <row r="21" customFormat="false" ht="21.75" hidden="false" customHeight="true" outlineLevel="0" collapsed="false">
      <c r="A21" s="11" t="s">
        <v>160</v>
      </c>
      <c r="B21" s="12" t="s">
        <v>159</v>
      </c>
      <c r="C21" s="11" t="n">
        <v>6</v>
      </c>
      <c r="D21" s="11" t="s">
        <v>158</v>
      </c>
      <c r="E21" s="11" t="s">
        <v>75</v>
      </c>
      <c r="F21" s="12" t="s">
        <v>353</v>
      </c>
      <c r="G21" s="12" t="s">
        <v>354</v>
      </c>
    </row>
    <row r="22" customFormat="false" ht="21.75" hidden="false" customHeight="true" outlineLevel="0" collapsed="false">
      <c r="A22" s="11" t="s">
        <v>166</v>
      </c>
      <c r="B22" s="12" t="s">
        <v>165</v>
      </c>
      <c r="C22" s="11" t="n">
        <v>4</v>
      </c>
      <c r="D22" s="11" t="s">
        <v>164</v>
      </c>
      <c r="E22" s="11" t="s">
        <v>75</v>
      </c>
      <c r="F22" s="12" t="s">
        <v>353</v>
      </c>
      <c r="G22" s="12" t="s">
        <v>354</v>
      </c>
    </row>
    <row r="23" customFormat="false" ht="21.75" hidden="false" customHeight="true" outlineLevel="0" collapsed="false">
      <c r="A23" s="11" t="s">
        <v>372</v>
      </c>
      <c r="B23" s="12" t="s">
        <v>373</v>
      </c>
      <c r="C23" s="11" t="n">
        <v>14</v>
      </c>
      <c r="D23" s="11" t="s">
        <v>106</v>
      </c>
      <c r="E23" s="11" t="s">
        <v>75</v>
      </c>
      <c r="F23" s="12" t="s">
        <v>357</v>
      </c>
      <c r="G23" s="12" t="s">
        <v>343</v>
      </c>
    </row>
    <row r="24" customFormat="false" ht="21.75" hidden="false" customHeight="true" outlineLevel="0" collapsed="false">
      <c r="A24" s="11" t="s">
        <v>205</v>
      </c>
      <c r="B24" s="12" t="s">
        <v>374</v>
      </c>
      <c r="C24" s="11" t="n">
        <v>14</v>
      </c>
      <c r="D24" s="11" t="s">
        <v>203</v>
      </c>
      <c r="E24" s="11" t="s">
        <v>196</v>
      </c>
      <c r="F24" s="12" t="s">
        <v>353</v>
      </c>
      <c r="G24" s="12" t="s">
        <v>354</v>
      </c>
    </row>
    <row r="25" customFormat="false" ht="21.75" hidden="false" customHeight="true" outlineLevel="0" collapsed="false">
      <c r="A25" s="11" t="s">
        <v>213</v>
      </c>
      <c r="B25" s="12" t="s">
        <v>212</v>
      </c>
      <c r="C25" s="11" t="n">
        <v>13</v>
      </c>
      <c r="D25" s="11" t="s">
        <v>211</v>
      </c>
      <c r="E25" s="11" t="s">
        <v>196</v>
      </c>
      <c r="F25" s="12" t="s">
        <v>353</v>
      </c>
      <c r="G25" s="12" t="s">
        <v>354</v>
      </c>
    </row>
    <row r="26" customFormat="false" ht="21.75" hidden="false" customHeight="true" outlineLevel="0" collapsed="false">
      <c r="A26" s="11" t="s">
        <v>189</v>
      </c>
      <c r="B26" s="12" t="s">
        <v>375</v>
      </c>
      <c r="C26" s="11" t="n">
        <v>11</v>
      </c>
      <c r="D26" s="11" t="s">
        <v>187</v>
      </c>
      <c r="E26" s="11" t="s">
        <v>75</v>
      </c>
      <c r="F26" s="12" t="s">
        <v>353</v>
      </c>
      <c r="G26" s="12" t="s">
        <v>354</v>
      </c>
    </row>
    <row r="27" customFormat="false" ht="21.75" hidden="false" customHeight="true" outlineLevel="0" collapsed="false">
      <c r="A27" s="11" t="s">
        <v>250</v>
      </c>
      <c r="B27" s="12" t="s">
        <v>376</v>
      </c>
      <c r="C27" s="11" t="n">
        <v>15</v>
      </c>
      <c r="D27" s="11" t="s">
        <v>248</v>
      </c>
      <c r="E27" s="11" t="s">
        <v>232</v>
      </c>
      <c r="F27" s="12" t="s">
        <v>353</v>
      </c>
      <c r="G27" s="12" t="s">
        <v>354</v>
      </c>
    </row>
    <row r="28" customFormat="false" ht="21.75" hidden="false" customHeight="true" outlineLevel="0" collapsed="false">
      <c r="A28" s="11" t="s">
        <v>258</v>
      </c>
      <c r="B28" s="12" t="s">
        <v>257</v>
      </c>
      <c r="C28" s="11" t="n">
        <v>9</v>
      </c>
      <c r="D28" s="11" t="s">
        <v>256</v>
      </c>
      <c r="E28" s="11" t="s">
        <v>232</v>
      </c>
      <c r="F28" s="12" t="s">
        <v>353</v>
      </c>
      <c r="G28" s="12" t="s">
        <v>354</v>
      </c>
    </row>
    <row r="29" customFormat="false" ht="21.75" hidden="false" customHeight="true" outlineLevel="0" collapsed="false">
      <c r="A29" s="11" t="s">
        <v>219</v>
      </c>
      <c r="B29" s="12" t="s">
        <v>218</v>
      </c>
      <c r="C29" s="11" t="n">
        <v>19</v>
      </c>
      <c r="D29" s="11" t="s">
        <v>217</v>
      </c>
      <c r="E29" s="11" t="s">
        <v>196</v>
      </c>
      <c r="F29" s="12" t="s">
        <v>353</v>
      </c>
      <c r="G29" s="12" t="s">
        <v>354</v>
      </c>
    </row>
    <row r="30" customFormat="false" ht="21.75" hidden="false" customHeight="true" outlineLevel="0" collapsed="false">
      <c r="A30" s="11" t="s">
        <v>281</v>
      </c>
      <c r="B30" s="12" t="s">
        <v>377</v>
      </c>
      <c r="C30" s="11" t="n">
        <v>8</v>
      </c>
      <c r="D30" s="11" t="s">
        <v>279</v>
      </c>
      <c r="E30" s="11" t="s">
        <v>232</v>
      </c>
      <c r="F30" s="12" t="s">
        <v>353</v>
      </c>
      <c r="G30" s="12" t="s">
        <v>354</v>
      </c>
    </row>
    <row r="31" customFormat="false" ht="21.75" hidden="false" customHeight="true" outlineLevel="0" collapsed="false">
      <c r="A31" s="11" t="s">
        <v>182</v>
      </c>
      <c r="B31" s="12" t="s">
        <v>181</v>
      </c>
      <c r="C31" s="11" t="n">
        <v>18</v>
      </c>
      <c r="D31" s="11" t="s">
        <v>180</v>
      </c>
      <c r="E31" s="11" t="s">
        <v>75</v>
      </c>
      <c r="F31" s="12" t="s">
        <v>353</v>
      </c>
      <c r="G31" s="12" t="s">
        <v>354</v>
      </c>
    </row>
    <row r="32" customFormat="false" ht="21.75" hidden="false" customHeight="true" outlineLevel="0" collapsed="false">
      <c r="A32" s="11" t="s">
        <v>296</v>
      </c>
      <c r="B32" s="12" t="s">
        <v>295</v>
      </c>
      <c r="C32" s="11" t="n">
        <v>5</v>
      </c>
      <c r="D32" s="11" t="s">
        <v>294</v>
      </c>
      <c r="E32" s="11" t="s">
        <v>286</v>
      </c>
      <c r="F32" s="12" t="s">
        <v>353</v>
      </c>
      <c r="G32" s="12" t="s">
        <v>354</v>
      </c>
    </row>
    <row r="33" customFormat="false" ht="21.75" hidden="false" customHeight="true" outlineLevel="0" collapsed="false">
      <c r="A33" s="11" t="s">
        <v>226</v>
      </c>
      <c r="B33" s="12" t="s">
        <v>225</v>
      </c>
      <c r="C33" s="11" t="n">
        <v>6</v>
      </c>
      <c r="D33" s="11" t="s">
        <v>224</v>
      </c>
      <c r="E33" s="11" t="s">
        <v>196</v>
      </c>
      <c r="F33" s="12" t="s">
        <v>353</v>
      </c>
      <c r="G33" s="12" t="s">
        <v>354</v>
      </c>
    </row>
    <row r="34" customFormat="false" ht="21.75" hidden="false" customHeight="true" outlineLevel="0" collapsed="false">
      <c r="A34" s="11" t="s">
        <v>174</v>
      </c>
      <c r="B34" s="12" t="s">
        <v>173</v>
      </c>
      <c r="C34" s="11" t="n">
        <v>8</v>
      </c>
      <c r="D34" s="11" t="s">
        <v>172</v>
      </c>
      <c r="E34" s="11" t="s">
        <v>75</v>
      </c>
      <c r="F34" s="12" t="s">
        <v>353</v>
      </c>
      <c r="G34" s="12" t="s">
        <v>354</v>
      </c>
    </row>
    <row r="35" customFormat="false" ht="21.75" hidden="false" customHeight="true" outlineLevel="0" collapsed="false">
      <c r="A35" s="11" t="s">
        <v>266</v>
      </c>
      <c r="B35" s="12" t="s">
        <v>265</v>
      </c>
      <c r="C35" s="11" t="n">
        <v>14</v>
      </c>
      <c r="D35" s="11" t="s">
        <v>264</v>
      </c>
      <c r="E35" s="11" t="s">
        <v>232</v>
      </c>
      <c r="F35" s="12" t="s">
        <v>353</v>
      </c>
      <c r="G35" s="12" t="s">
        <v>354</v>
      </c>
    </row>
    <row r="36" customFormat="false" ht="21.75" hidden="false" customHeight="true" outlineLevel="0" collapsed="false">
      <c r="A36" s="11" t="s">
        <v>273</v>
      </c>
      <c r="B36" s="12" t="s">
        <v>272</v>
      </c>
      <c r="C36" s="11" t="n">
        <v>3</v>
      </c>
      <c r="D36" s="11" t="s">
        <v>271</v>
      </c>
      <c r="E36" s="11" t="s">
        <v>232</v>
      </c>
      <c r="F36" s="12" t="s">
        <v>353</v>
      </c>
      <c r="G36" s="12" t="s">
        <v>354</v>
      </c>
    </row>
    <row r="37" customFormat="false" ht="21.75" hidden="false" customHeight="true" outlineLevel="0" collapsed="false">
      <c r="A37" s="11" t="s">
        <v>378</v>
      </c>
      <c r="B37" s="12" t="s">
        <v>379</v>
      </c>
      <c r="C37" s="11" t="n">
        <v>14</v>
      </c>
      <c r="D37" s="11" t="s">
        <v>90</v>
      </c>
      <c r="E37" s="11" t="s">
        <v>75</v>
      </c>
      <c r="F37" s="12" t="s">
        <v>351</v>
      </c>
      <c r="G37" s="12" t="s">
        <v>343</v>
      </c>
    </row>
    <row r="38" customFormat="false" ht="21.75" hidden="false" customHeight="true" outlineLevel="0" collapsed="false">
      <c r="A38" s="11" t="s">
        <v>288</v>
      </c>
      <c r="B38" s="12" t="s">
        <v>380</v>
      </c>
      <c r="C38" s="11" t="n">
        <v>5</v>
      </c>
      <c r="D38" s="11" t="s">
        <v>285</v>
      </c>
      <c r="E38" s="11" t="s">
        <v>286</v>
      </c>
      <c r="F38" s="12" t="s">
        <v>353</v>
      </c>
      <c r="G38" s="12" t="s">
        <v>354</v>
      </c>
    </row>
    <row r="39" customFormat="false" ht="15" hidden="false" customHeight="false" outlineLevel="0" collapsed="false">
      <c r="A39" s="6" t="s">
        <v>31</v>
      </c>
      <c r="B39" s="6" t="str">
        <f aca="false">"共 "&amp;COUNTA(A3:A38)&amp;" 条原始问题；频次合计 "&amp;SUM(C3:C38)</f>
        <v>共 36 条原始问题；频次合计 353</v>
      </c>
      <c r="C39" s="23" t="n">
        <f aca="false">SUM(C3:C38)</f>
        <v>353</v>
      </c>
    </row>
  </sheetData>
  <autoFilter ref="A2:G38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2026-10-30T09:07:24Z</dcterms:created>
  <dc:creator>openpyxl</dc:creator>
  <dc:description/>
  <dc:language>zh-CN</dc:language>
  <cp:lastModifiedBy/>
  <dcterms:modified xsi:type="dcterms:W3CDTF">2026-10-30T09:07:24Z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